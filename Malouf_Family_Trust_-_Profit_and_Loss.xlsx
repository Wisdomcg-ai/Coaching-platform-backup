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<sst xmlns="http://schemas.openxmlformats.org/spreadsheetml/2006/main" count="66" uniqueCount="66">
  <si>
    <t>Profit and Loss</t>
  </si>
  <si>
    <t>Malouf Family Trust</t>
  </si>
  <si>
    <t>For the month ended 30 June 2025</t>
  </si>
  <si>
    <t>Account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</si>
  <si>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</si>
  <si>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</si>
  <si>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</si>
  <si>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</si>
  <si>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</si>
  <si>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</si>
  <si>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</si>
  <si>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</si>
  <si>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</si>
  <si>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Sept 2024</t>
  </si>
  <si>
    <t>Aug 2024</t>
  </si>
  <si>
    <t>Jul 2024</t>
  </si>
  <si>
    <t>Total</t>
  </si>
  <si>
    <t>Trading Income</t>
  </si>
  <si>
    <t>Sales</t>
  </si>
  <si>
    <t>Sales - CFO</t>
  </si>
  <si>
    <t>Sales - TB</t>
  </si>
  <si>
    <t>Sales - Wisdom Coaching</t>
  </si>
  <si>
    <t>Sales - Wisdom Growth Club</t>
  </si>
  <si>
    <t>Total Trading Income</t>
  </si>
  <si>
    <t>Gross Profit</t>
  </si>
  <si>
    <t>Other Income</t>
  </si>
  <si>
    <t>Other Revenue</t>
  </si>
  <si>
    <t>Total Other Income</t>
  </si>
  <si>
    <t>Operating Expenses</t>
  </si>
  <si>
    <t>Accounting</t>
  </si>
  <si>
    <t>Amortisation</t>
  </si>
  <si>
    <t>Bank Fees</t>
  </si>
  <si>
    <t>Business Coaching</t>
  </si>
  <si>
    <t>Client Gifts</t>
  </si>
  <si>
    <t>Contractors/Sub Contractors</t>
  </si>
  <si>
    <t>Depreciation</t>
  </si>
  <si>
    <t>Donations</t>
  </si>
  <si>
    <t>Electricity</t>
  </si>
  <si>
    <t>Entertainment</t>
  </si>
  <si>
    <t>Filing Fees</t>
  </si>
  <si>
    <t>Insurance</t>
  </si>
  <si>
    <t>Interest Expense</t>
  </si>
  <si>
    <t>IT &amp; Computer Expenses</t>
  </si>
  <si>
    <t>Marketing - Wisdom</t>
  </si>
  <si>
    <t>Merchant Fees</t>
  </si>
  <si>
    <t>MV Expenses - BMW i4</t>
  </si>
  <si>
    <t>MV Expenses - Mazda CX-5</t>
  </si>
  <si>
    <t>MV Expenses - Toyota Landcruiser</t>
  </si>
  <si>
    <t>Printing &amp; Stationery</t>
  </si>
  <si>
    <t>Rent</t>
  </si>
  <si>
    <t>Repairs &amp; Maintenance</t>
  </si>
  <si>
    <t>Subscriptions</t>
  </si>
  <si>
    <t>Sundry Expenses - Wisdom</t>
  </si>
  <si>
    <t>Telephone &amp; Internet</t>
  </si>
  <si>
    <t>Think Bigger - Program Expenses</t>
  </si>
  <si>
    <t>Training &amp; Development</t>
  </si>
  <si>
    <t>Travel - International</t>
  </si>
  <si>
    <t>Travel - National Client</t>
  </si>
  <si>
    <t>VCFO Program Expenses</t>
  </si>
  <si>
    <t>Wisdom Event</t>
  </si>
  <si>
    <t>Total Operating Expenses</t>
  </si>
  <si>
    <t>Net Profit</t>
  </si>
  <si>
    <t>Distribution of Profit</t>
  </si>
  <si>
    <t>Distribution of Profit - Danielle Malouf</t>
  </si>
  <si>
    <t>Distribution of Profit - Matthew Malouf</t>
  </si>
  <si>
    <t>Total Distribution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</si>
</sst>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60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36.5" customWidth="1"/>
    <col min="2" max="2" width="11.16015625" customWidth="1"/>
    <col min="3" max="3" width="11.5" customWidth="1"/>
    <col min="4" max="4" width="11" customWidth="1"/>
    <col min="5" max="5" width="11.33203125" customWidth="1"/>
    <col min="6" max="8" width="10.66015625" customWidth="1"/>
    <col min="9" max="9" width="11" customWidth="1"/>
    <col min="10" max="10" width="10.66015625" customWidth="1"/>
    <col min="11" max="11" width="11.33203125" customWidth="1"/>
    <col min="12" max="12" width="11.16015625" customWidth="1"/>
    <col min="13" max="13" width="10.16015625" customWidth="1"/>
    <col min="14" max="14" width="6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</row>
    <row r="6" ht="13.35" customHeight="true"/>
    <row r="7" ht="12.1" customHeight="true" customFormat="true" s="5">
      <c r="A7" s="8" t="s">
        <v>17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ht="10.95" customHeight="true" customFormat="true" s="9">
      <c r="A8" s="10" t="s">
        <v>18</v>
      </c>
      <c r="B8" s="11">
        <v>0</v>
      </c>
      <c r="C8" s="11">
        <v>0</v>
      </c>
      <c r="D8" s="11">
        <v>0</v>
      </c>
      <c r="E8" s="11">
        <v>258.0800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272.7400</v>
      </c>
      <c r="L8" s="11">
        <v>0</v>
      </c>
      <c r="M8" s="11">
        <v>21250.0000</v>
      </c>
      <c r="N8" s="11">
        <f ca="1">(((((((((((B8 + C8) + D8) + E8) + F8) + G8) + H8) + I8) + J8) + K8) + L8) + M8)</f>
        <v>0</v>
      </c>
    </row>
    <row r="9" ht="10.95" customHeight="true" customFormat="true" s="9">
      <c r="A9" s="12" t="s">
        <v>19</v>
      </c>
      <c r="B9" s="13">
        <v>15912.5000</v>
      </c>
      <c r="C9" s="13">
        <v>14962.5000</v>
      </c>
      <c r="D9" s="13">
        <v>10962.5000</v>
      </c>
      <c r="E9" s="13">
        <v>20012.5000</v>
      </c>
      <c r="F9" s="13">
        <v>14712.5000</v>
      </c>
      <c r="G9" s="13">
        <v>11362.5000</v>
      </c>
      <c r="H9" s="13">
        <v>15362.5000</v>
      </c>
      <c r="I9" s="13">
        <v>11362.5000</v>
      </c>
      <c r="J9" s="13">
        <v>11362.5000</v>
      </c>
      <c r="K9" s="13">
        <v>15362.5000</v>
      </c>
      <c r="L9" s="13">
        <v>11362.5000</v>
      </c>
      <c r="M9" s="13">
        <v>16562.5000</v>
      </c>
      <c r="N9" s="13">
        <f ca="1">(((((((((((B9 + C9) + D9) + E9) + F9) + G9) + H9) + I9) + J9) + K9) + L9) + M9)</f>
        <v>0</v>
      </c>
    </row>
    <row r="10" ht="10.95" customHeight="true" customFormat="true" s="9">
      <c r="A10" s="12" t="s">
        <v>20</v>
      </c>
      <c r="B10" s="13">
        <v>6318.1800</v>
      </c>
      <c r="C10" s="13">
        <v>6318.1800</v>
      </c>
      <c r="D10" s="13">
        <v>6318.1800</v>
      </c>
      <c r="E10" s="13">
        <v>6318.1800</v>
      </c>
      <c r="F10" s="13">
        <v>6318.1800</v>
      </c>
      <c r="G10" s="13">
        <v>6318.1800</v>
      </c>
      <c r="H10" s="13">
        <v>6318.1800</v>
      </c>
      <c r="I10" s="13">
        <v>6318.1800</v>
      </c>
      <c r="J10" s="13">
        <v>6318.1800</v>
      </c>
      <c r="K10" s="13">
        <v>6318.1800</v>
      </c>
      <c r="L10" s="13">
        <v>6318.1800</v>
      </c>
      <c r="M10" s="13">
        <v>6318.1800</v>
      </c>
      <c r="N10" s="13">
        <f ca="1">(((((((((((B10 + C10) + D10) + E10) + F10) + G10) + H10) + I10) + J10) + K10) + L10) + M10)</f>
        <v>0</v>
      </c>
    </row>
    <row r="11" ht="10.95" customHeight="true" customFormat="true" s="9">
      <c r="A11" s="12" t="s">
        <v>21</v>
      </c>
      <c r="B11" s="13">
        <v>59264.6500</v>
      </c>
      <c r="C11" s="13">
        <v>55304.5900</v>
      </c>
      <c r="D11" s="13">
        <v>88127.7600</v>
      </c>
      <c r="E11" s="13">
        <v>167743.6100</v>
      </c>
      <c r="F11" s="13">
        <v>55163.6400</v>
      </c>
      <c r="G11" s="13">
        <v>50415.0100</v>
      </c>
      <c r="H11" s="13">
        <v>52274.0800</v>
      </c>
      <c r="I11" s="13">
        <v>58813.6400</v>
      </c>
      <c r="J11" s="13">
        <v>53868.1800</v>
      </c>
      <c r="K11" s="13">
        <v>54224.8900</v>
      </c>
      <c r="L11" s="13">
        <v>48635.3500</v>
      </c>
      <c r="M11" s="13">
        <v>55392.6900</v>
      </c>
      <c r="N11" s="13">
        <f ca="1">(((((((((((B11 + C11) + D11) + E11) + F11) + G11) + H11) + I11) + J11) + K11) + L11) + M11)</f>
        <v>0</v>
      </c>
    </row>
    <row r="12" ht="10.95" customHeight="true" customFormat="true" s="9">
      <c r="A12" s="12" t="s">
        <v>22</v>
      </c>
      <c r="B12" s="13">
        <v>500.0000</v>
      </c>
      <c r="C12" s="13">
        <v>500.0000</v>
      </c>
      <c r="D12" s="13">
        <v>4704.5500</v>
      </c>
      <c r="E12" s="13">
        <v>500.0000</v>
      </c>
      <c r="F12" s="13">
        <v>500.0000</v>
      </c>
      <c r="G12" s="13">
        <v>500.0000</v>
      </c>
      <c r="H12" s="13">
        <v>500.0000</v>
      </c>
      <c r="I12" s="13">
        <v>4704.5500</v>
      </c>
      <c r="J12" s="13">
        <v>713.6400</v>
      </c>
      <c r="K12" s="13">
        <v>500.0000</v>
      </c>
      <c r="L12" s="13">
        <v>500.0000</v>
      </c>
      <c r="M12" s="13">
        <v>500.0000</v>
      </c>
      <c r="N12" s="13">
        <f ca="1">(((((((((((B12 + C12) + D12) + E12) + F12) + G12) + H12) + I12) + J12) + K12) + L12) + M12)</f>
        <v>0</v>
      </c>
    </row>
    <row r="13" ht="10.95" customHeight="true" customFormat="true" s="9">
      <c r="A13" s="14" t="s">
        <v>23</v>
      </c>
      <c r="B13" s="15">
        <f ca="1">SUM(B8:B12)</f>
        <v>0</v>
      </c>
      <c r="C13" s="15">
        <f ca="1">SUM(C8:C12)</f>
        <v>0</v>
      </c>
      <c r="D13" s="15">
        <f ca="1">SUM(D8:D12)</f>
        <v>0</v>
      </c>
      <c r="E13" s="15">
        <f ca="1">SUM(E8:E12)</f>
        <v>0</v>
      </c>
      <c r="F13" s="15">
        <f ca="1">SUM(F8:F12)</f>
        <v>0</v>
      </c>
      <c r="G13" s="15">
        <f ca="1">SUM(G8:G12)</f>
        <v>0</v>
      </c>
      <c r="H13" s="15">
        <f ca="1">SUM(H8:H12)</f>
        <v>0</v>
      </c>
      <c r="I13" s="15">
        <f ca="1">SUM(I8:I12)</f>
        <v>0</v>
      </c>
      <c r="J13" s="15">
        <f ca="1">SUM(J8:J12)</f>
        <v>0</v>
      </c>
      <c r="K13" s="15">
        <f ca="1">SUM(K8:K12)</f>
        <v>0</v>
      </c>
      <c r="L13" s="15">
        <f ca="1">SUM(L8:L12)</f>
        <v>0</v>
      </c>
      <c r="M13" s="15">
        <f ca="1">SUM(M8:M12)</f>
        <v>0</v>
      </c>
      <c r="N13" s="15">
        <f ca="1">(((((((((((B13 + C13) + D13) + E13) + F13) + G13) + H13) + I13) + J13) + K13) + L13) + M13)</f>
        <v>0</v>
      </c>
    </row>
    <row r="14" ht="13.35" customHeight="true"/>
    <row r="15" ht="10.95" customHeight="true" customFormat="true" s="9">
      <c r="A15" s="16" t="s">
        <v>24</v>
      </c>
      <c r="B15" s="17">
        <f ca="1">(B13 - 0)</f>
        <v>0</v>
      </c>
      <c r="C15" s="17">
        <f ca="1">(C13 - 0)</f>
        <v>0</v>
      </c>
      <c r="D15" s="17">
        <f ca="1">(D13 - 0)</f>
        <v>0</v>
      </c>
      <c r="E15" s="17">
        <f ca="1">(E13 - 0)</f>
        <v>0</v>
      </c>
      <c r="F15" s="17">
        <f ca="1">(F13 - 0)</f>
        <v>0</v>
      </c>
      <c r="G15" s="17">
        <f ca="1">(G13 - 0)</f>
        <v>0</v>
      </c>
      <c r="H15" s="17">
        <f ca="1">(H13 - 0)</f>
        <v>0</v>
      </c>
      <c r="I15" s="17">
        <f ca="1">(I13 - 0)</f>
        <v>0</v>
      </c>
      <c r="J15" s="17">
        <f ca="1">(J13 - 0)</f>
        <v>0</v>
      </c>
      <c r="K15" s="17">
        <f ca="1">(K13 - 0)</f>
        <v>0</v>
      </c>
      <c r="L15" s="17">
        <f ca="1">(L13 - 0)</f>
        <v>0</v>
      </c>
      <c r="M15" s="17">
        <f ca="1">(M13 - 0)</f>
        <v>0</v>
      </c>
      <c r="N15" s="17">
        <f ca="1">(((((((((((B15 + C15) + D15) + E15) + F15) + G15) + H15) + I15) + J15) + K15) + L15) + M15)</f>
        <v>0</v>
      </c>
    </row>
    <row r="16" ht="13.35" customHeight="true"/>
    <row r="17" ht="12.1" customHeight="true" customFormat="true" s="5">
      <c r="A17" s="8" t="s">
        <v>25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ht="10.95" customHeight="true" customFormat="true" s="9">
      <c r="A18" s="10" t="s">
        <v>26</v>
      </c>
      <c r="B18" s="11">
        <v>7437.2700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f ca="1">(((((((((((B18 + C18) + D18) + E18) + F18) + G18) + H18) + I18) + J18) + K18) + L18) + M18)</f>
        <v>0</v>
      </c>
    </row>
    <row r="19" ht="10.95" customHeight="true" customFormat="true" s="9">
      <c r="A19" s="14" t="s">
        <v>27</v>
      </c>
      <c r="B19" s="15">
        <f ca="1">B18</f>
        <v>0</v>
      </c>
      <c r="C19" s="15">
        <f ca="1">C18</f>
        <v>0</v>
      </c>
      <c r="D19" s="15">
        <f ca="1">D18</f>
        <v>0</v>
      </c>
      <c r="E19" s="15">
        <f ca="1">E18</f>
        <v>0</v>
      </c>
      <c r="F19" s="15">
        <f ca="1">F18</f>
        <v>0</v>
      </c>
      <c r="G19" s="15">
        <f ca="1">G18</f>
        <v>0</v>
      </c>
      <c r="H19" s="15">
        <f ca="1">H18</f>
        <v>0</v>
      </c>
      <c r="I19" s="15">
        <f ca="1">I18</f>
        <v>0</v>
      </c>
      <c r="J19" s="15">
        <f ca="1">J18</f>
        <v>0</v>
      </c>
      <c r="K19" s="15">
        <f ca="1">K18</f>
        <v>0</v>
      </c>
      <c r="L19" s="15">
        <f ca="1">L18</f>
        <v>0</v>
      </c>
      <c r="M19" s="15">
        <f ca="1">M18</f>
        <v>0</v>
      </c>
      <c r="N19" s="15">
        <f ca="1">(((((((((((B19 + C19) + D19) + E19) + F19) + G19) + H19) + I19) + J19) + K19) + L19) + M19)</f>
        <v>0</v>
      </c>
    </row>
    <row r="20" ht="13.35" customHeight="true"/>
    <row r="21" ht="12.1" customHeight="true" customFormat="true" s="5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0.95" customHeight="true" customFormat="true" s="9">
      <c r="A22" s="10" t="s">
        <v>29</v>
      </c>
      <c r="B22" s="11">
        <v>0</v>
      </c>
      <c r="C22" s="11">
        <v>600.0300</v>
      </c>
      <c r="D22" s="11">
        <v>5542.6500</v>
      </c>
      <c r="E22" s="11">
        <v>0</v>
      </c>
      <c r="F22" s="11">
        <v>0</v>
      </c>
      <c r="G22" s="11">
        <v>518.6700</v>
      </c>
      <c r="H22" s="11">
        <v>2422.3100</v>
      </c>
      <c r="I22" s="11">
        <v>518.6700</v>
      </c>
      <c r="J22" s="11">
        <v>0</v>
      </c>
      <c r="K22" s="11">
        <v>0</v>
      </c>
      <c r="L22" s="11">
        <v>518.6700</v>
      </c>
      <c r="M22" s="11">
        <v>500.0000</v>
      </c>
      <c r="N22" s="11">
        <f ca="1">(((((((((((B22 + C22) + D22) + E22) + F22) + G22) + H22) + I22) + J22) + K22) + L22) + M22)</f>
        <v>0</v>
      </c>
    </row>
    <row r="23" ht="10.95" customHeight="true" customFormat="true" s="9">
      <c r="A23" s="12" t="s">
        <v>30</v>
      </c>
      <c r="B23" s="13">
        <v>191.5800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f ca="1">(((((((((((B23 + C23) + D23) + E23) + F23) + G23) + H23) + I23) + J23) + K23) + L23) + M23)</f>
        <v>0</v>
      </c>
    </row>
    <row r="24" ht="10.95" customHeight="true" customFormat="true" s="9">
      <c r="A24" s="12" t="s">
        <v>31</v>
      </c>
      <c r="B24" s="13">
        <v>584.3500</v>
      </c>
      <c r="C24" s="13">
        <v>303.2600</v>
      </c>
      <c r="D24" s="13">
        <v>40.0000</v>
      </c>
      <c r="E24" s="13">
        <v>247.7600</v>
      </c>
      <c r="F24" s="13">
        <v>164.1000</v>
      </c>
      <c r="G24" s="13">
        <v>10.0000</v>
      </c>
      <c r="H24" s="13">
        <v>278.6900</v>
      </c>
      <c r="I24" s="13">
        <v>116.5600</v>
      </c>
      <c r="J24" s="13">
        <v>9.9500</v>
      </c>
      <c r="K24" s="13">
        <v>54.6100</v>
      </c>
      <c r="L24" s="13">
        <v>161.1800</v>
      </c>
      <c r="M24" s="13">
        <v>17.0000</v>
      </c>
      <c r="N24" s="13">
        <f ca="1">(((((((((((B24 + C24) + D24) + E24) + F24) + G24) + H24) + I24) + J24) + K24) + L24) + M24)</f>
        <v>0</v>
      </c>
    </row>
    <row r="25" ht="10.95" customHeight="true" customFormat="true" s="9">
      <c r="A25" s="12" t="s">
        <v>32</v>
      </c>
      <c r="B25" s="13">
        <v>3993.5100</v>
      </c>
      <c r="C25" s="13">
        <v>1818.1800</v>
      </c>
      <c r="D25" s="13">
        <v>0</v>
      </c>
      <c r="E25" s="13">
        <v>16287.2700</v>
      </c>
      <c r="F25" s="13">
        <v>2610.3200</v>
      </c>
      <c r="G25" s="13">
        <v>388.9800</v>
      </c>
      <c r="H25" s="13">
        <v>1500.5100</v>
      </c>
      <c r="I25" s="13">
        <v>152.4100</v>
      </c>
      <c r="J25" s="13">
        <v>750.0000</v>
      </c>
      <c r="K25" s="13">
        <v>0</v>
      </c>
      <c r="L25" s="13">
        <v>0</v>
      </c>
      <c r="M25" s="13">
        <v>1283.0000</v>
      </c>
      <c r="N25" s="13">
        <f ca="1">(((((((((((B25 + C25) + D25) + E25) + F25) + G25) + H25) + I25) + J25) + K25) + L25) + M25)</f>
        <v>0</v>
      </c>
    </row>
    <row r="26" ht="10.95" customHeight="true" customFormat="true" s="9">
      <c r="A26" s="12" t="s">
        <v>33</v>
      </c>
      <c r="B26" s="13">
        <v>205.5800</v>
      </c>
      <c r="C26" s="13">
        <v>181.8200</v>
      </c>
      <c r="D26" s="13">
        <v>0</v>
      </c>
      <c r="E26" s="13">
        <v>1144.0300</v>
      </c>
      <c r="F26" s="13">
        <v>150.0000</v>
      </c>
      <c r="G26" s="13">
        <v>470.7800</v>
      </c>
      <c r="H26" s="13">
        <v>3379.1400</v>
      </c>
      <c r="I26" s="13">
        <v>1943.5400</v>
      </c>
      <c r="J26" s="13">
        <v>454.7300</v>
      </c>
      <c r="K26" s="13">
        <v>-1.7700</v>
      </c>
      <c r="L26" s="13">
        <v>145.4500</v>
      </c>
      <c r="M26" s="13">
        <v>272.5600</v>
      </c>
      <c r="N26" s="13">
        <f ca="1">(((((((((((B26 + C26) + D26) + E26) + F26) + G26) + H26) + I26) + J26) + K26) + L26) + M26)</f>
        <v>0</v>
      </c>
    </row>
    <row r="27" ht="10.95" customHeight="true" customFormat="true" s="9">
      <c r="A27" s="12" t="s">
        <v>34</v>
      </c>
      <c r="B27" s="13">
        <v>1734.3800</v>
      </c>
      <c r="C27" s="13">
        <v>1772.0700</v>
      </c>
      <c r="D27" s="13">
        <v>1624.2500</v>
      </c>
      <c r="E27" s="13">
        <v>1462.0400</v>
      </c>
      <c r="F27" s="13">
        <v>1447.3800</v>
      </c>
      <c r="G27" s="13">
        <v>1701.9600</v>
      </c>
      <c r="H27" s="13">
        <v>2427.9800</v>
      </c>
      <c r="I27" s="13">
        <v>1315.2100</v>
      </c>
      <c r="J27" s="13">
        <v>1405.6800</v>
      </c>
      <c r="K27" s="13">
        <v>1466.9600</v>
      </c>
      <c r="L27" s="13">
        <v>2093.2100</v>
      </c>
      <c r="M27" s="13">
        <v>1343.9300</v>
      </c>
      <c r="N27" s="13">
        <f ca="1">(((((((((((B27 + C27) + D27) + E27) + F27) + G27) + H27) + I27) + J27) + K27) + L27) + M27)</f>
        <v>0</v>
      </c>
    </row>
    <row r="28" ht="10.95" customHeight="true" customFormat="true" s="9">
      <c r="A28" s="12" t="s">
        <v>35</v>
      </c>
      <c r="B28" s="13">
        <v>8582.1600</v>
      </c>
      <c r="C28" s="13">
        <v>674.6600</v>
      </c>
      <c r="D28" s="13">
        <v>652.9000</v>
      </c>
      <c r="E28" s="13">
        <v>674.6700</v>
      </c>
      <c r="F28" s="13">
        <v>609.3700</v>
      </c>
      <c r="G28" s="13">
        <v>674.6600</v>
      </c>
      <c r="H28" s="13">
        <v>2901.9300</v>
      </c>
      <c r="I28" s="13">
        <v>6429.2700</v>
      </c>
      <c r="J28" s="13">
        <v>2810.1200</v>
      </c>
      <c r="K28" s="13">
        <v>3971.0700</v>
      </c>
      <c r="L28" s="13">
        <v>2848.3500</v>
      </c>
      <c r="M28" s="13">
        <v>2938.3000</v>
      </c>
      <c r="N28" s="13">
        <f ca="1">(((((((((((B28 + C28) + D28) + E28) + F28) + G28) + H28) + I28) + J28) + K28) + L28) + M28)</f>
        <v>0</v>
      </c>
    </row>
    <row r="29" ht="10.95" customHeight="true" customFormat="true" s="9">
      <c r="A29" s="12" t="s">
        <v>36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200.0000</v>
      </c>
      <c r="J29" s="13">
        <v>0</v>
      </c>
      <c r="K29" s="13">
        <v>758.9500</v>
      </c>
      <c r="L29" s="13">
        <v>50.0000</v>
      </c>
      <c r="M29" s="13">
        <v>0</v>
      </c>
      <c r="N29" s="13">
        <f ca="1">(((((((((((B29 + C29) + D29) + E29) + F29) + G29) + H29) + I29) + J29) + K29) + L29) + M29)</f>
        <v>0</v>
      </c>
    </row>
    <row r="30" ht="10.95" customHeight="true" customFormat="true" s="9">
      <c r="A30" s="12" t="s">
        <v>37</v>
      </c>
      <c r="B30" s="13">
        <v>0</v>
      </c>
      <c r="C30" s="13">
        <v>231.1600</v>
      </c>
      <c r="D30" s="13">
        <v>0</v>
      </c>
      <c r="E30" s="13">
        <v>0</v>
      </c>
      <c r="F30" s="13">
        <v>0</v>
      </c>
      <c r="G30" s="13">
        <v>165.2000</v>
      </c>
      <c r="H30" s="13">
        <v>0</v>
      </c>
      <c r="I30" s="13">
        <v>0</v>
      </c>
      <c r="J30" s="13">
        <v>274.4500</v>
      </c>
      <c r="K30" s="13">
        <v>0</v>
      </c>
      <c r="L30" s="13">
        <v>101.8700</v>
      </c>
      <c r="M30" s="13">
        <v>0</v>
      </c>
      <c r="N30" s="13">
        <f ca="1">(((((((((((B30 + C30) + D30) + E30) + F30) + G30) + H30) + I30) + J30) + K30) + L30) + M30)</f>
        <v>0</v>
      </c>
    </row>
    <row r="31" ht="10.95" customHeight="true" customFormat="true" s="9">
      <c r="A31" s="12" t="s">
        <v>38</v>
      </c>
      <c r="B31" s="13">
        <v>0</v>
      </c>
      <c r="C31" s="13">
        <v>0</v>
      </c>
      <c r="D31" s="13">
        <v>0</v>
      </c>
      <c r="E31" s="13">
        <v>0</v>
      </c>
      <c r="F31" s="13">
        <v>221.4000</v>
      </c>
      <c r="G31" s="13">
        <v>0</v>
      </c>
      <c r="H31" s="13">
        <v>0</v>
      </c>
      <c r="I31" s="13">
        <v>1733.7200</v>
      </c>
      <c r="J31" s="13">
        <v>3205.3900</v>
      </c>
      <c r="K31" s="13">
        <v>207.3200</v>
      </c>
      <c r="L31" s="13">
        <v>305.5500</v>
      </c>
      <c r="M31" s="13">
        <v>893.6700</v>
      </c>
      <c r="N31" s="13">
        <f ca="1">(((((((((((B31 + C31) + D31) + E31) + F31) + G31) + H31) + I31) + J31) + K31) + L31) + M31)</f>
        <v>0</v>
      </c>
    </row>
    <row r="32" ht="10.95" customHeight="true" customFormat="true" s="9">
      <c r="A32" s="12" t="s">
        <v>39</v>
      </c>
      <c r="B32" s="13">
        <v>0</v>
      </c>
      <c r="C32" s="13">
        <v>0</v>
      </c>
      <c r="D32" s="13">
        <v>321.0000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f ca="1">(((((((((((B32 + C32) + D32) + E32) + F32) + G32) + H32) + I32) + J32) + K32) + L32) + M32)</f>
        <v>0</v>
      </c>
    </row>
    <row r="33" ht="10.95" customHeight="true" customFormat="true" s="9">
      <c r="A33" s="12" t="s">
        <v>40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3557.1100</v>
      </c>
      <c r="L33" s="13">
        <v>0</v>
      </c>
      <c r="M33" s="13">
        <v>0</v>
      </c>
      <c r="N33" s="13">
        <f ca="1">(((((((((((B33 + C33) + D33) + E33) + F33) + G33) + H33) + I33) + J33) + K33) + L33) + M33)</f>
        <v>0</v>
      </c>
    </row>
    <row r="34" ht="10.95" customHeight="true" customFormat="true" s="9">
      <c r="A34" s="12" t="s">
        <v>41</v>
      </c>
      <c r="B34" s="13">
        <v>17351.2300</v>
      </c>
      <c r="C34" s="13">
        <v>4.3900</v>
      </c>
      <c r="D34" s="13">
        <v>0</v>
      </c>
      <c r="E34" s="13">
        <v>-355.3200</v>
      </c>
      <c r="F34" s="13">
        <v>0</v>
      </c>
      <c r="G34" s="13">
        <v>0</v>
      </c>
      <c r="H34" s="13">
        <v>0</v>
      </c>
      <c r="I34" s="13">
        <v>170.6800</v>
      </c>
      <c r="J34" s="13">
        <v>775.5000</v>
      </c>
      <c r="K34" s="13">
        <v>943.9700</v>
      </c>
      <c r="L34" s="13">
        <v>1367.5000</v>
      </c>
      <c r="M34" s="13">
        <v>1275.8500</v>
      </c>
      <c r="N34" s="13">
        <f ca="1">(((((((((((B34 + C34) + D34) + E34) + F34) + G34) + H34) + I34) + J34) + K34) + L34) + M34)</f>
        <v>0</v>
      </c>
    </row>
    <row r="35" ht="10.95" customHeight="true" customFormat="true" s="9">
      <c r="A35" s="12" t="s">
        <v>42</v>
      </c>
      <c r="B35" s="13">
        <v>54.0000</v>
      </c>
      <c r="C35" s="13">
        <v>194.2800</v>
      </c>
      <c r="D35" s="13">
        <v>0</v>
      </c>
      <c r="E35" s="13">
        <v>0</v>
      </c>
      <c r="F35" s="13">
        <v>125.0000</v>
      </c>
      <c r="G35" s="13">
        <v>386.2700</v>
      </c>
      <c r="H35" s="13">
        <v>661.5200</v>
      </c>
      <c r="I35" s="13">
        <v>335.9700</v>
      </c>
      <c r="J35" s="13">
        <v>54.5000</v>
      </c>
      <c r="K35" s="13">
        <v>334.4100</v>
      </c>
      <c r="L35" s="13">
        <v>0</v>
      </c>
      <c r="M35" s="13">
        <v>269.0900</v>
      </c>
      <c r="N35" s="13">
        <f ca="1">(((((((((((B35 + C35) + D35) + E35) + F35) + G35) + H35) + I35) + J35) + K35) + L35) + M35)</f>
        <v>0</v>
      </c>
    </row>
    <row r="36" ht="10.95" customHeight="true" customFormat="true" s="9">
      <c r="A36" s="12" t="s">
        <v>43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133.0000</v>
      </c>
      <c r="H36" s="13">
        <v>0</v>
      </c>
      <c r="I36" s="13">
        <v>706.5900</v>
      </c>
      <c r="J36" s="13">
        <v>0</v>
      </c>
      <c r="K36" s="13">
        <v>0</v>
      </c>
      <c r="L36" s="13">
        <v>0</v>
      </c>
      <c r="M36" s="13">
        <v>0</v>
      </c>
      <c r="N36" s="13">
        <f ca="1">(((((((((((B36 + C36) + D36) + E36) + F36) + G36) + H36) + I36) + J36) + K36) + L36) + M36)</f>
        <v>0</v>
      </c>
    </row>
    <row r="37" ht="10.95" customHeight="true" customFormat="true" s="9">
      <c r="A37" s="12" t="s">
        <v>44</v>
      </c>
      <c r="B37" s="13">
        <v>206.6900</v>
      </c>
      <c r="C37" s="13">
        <v>231.0500</v>
      </c>
      <c r="D37" s="13">
        <v>607.4600</v>
      </c>
      <c r="E37" s="13">
        <v>215.8100</v>
      </c>
      <c r="F37" s="13">
        <v>334.0100</v>
      </c>
      <c r="G37" s="13">
        <v>311.6300</v>
      </c>
      <c r="H37" s="13">
        <v>1808.7100</v>
      </c>
      <c r="I37" s="13">
        <v>477.1000</v>
      </c>
      <c r="J37" s="13">
        <v>234.5400</v>
      </c>
      <c r="K37" s="13">
        <v>182.9000</v>
      </c>
      <c r="L37" s="13">
        <v>153.2500</v>
      </c>
      <c r="M37" s="13">
        <v>182.9500</v>
      </c>
      <c r="N37" s="13">
        <f ca="1">(((((((((((B37 + C37) + D37) + E37) + F37) + G37) + H37) + I37) + J37) + K37) + L37) + M37)</f>
        <v>0</v>
      </c>
    </row>
    <row r="38" ht="10.95" customHeight="true" customFormat="true" s="9">
      <c r="A38" s="12" t="s">
        <v>45</v>
      </c>
      <c r="B38" s="13">
        <v>141.3700</v>
      </c>
      <c r="C38" s="13">
        <v>159.0900</v>
      </c>
      <c r="D38" s="13">
        <v>135.2200</v>
      </c>
      <c r="E38" s="13">
        <v>164.5200</v>
      </c>
      <c r="F38" s="13">
        <v>170.6400</v>
      </c>
      <c r="G38" s="13">
        <v>189.8200</v>
      </c>
      <c r="H38" s="13">
        <v>1489.3500</v>
      </c>
      <c r="I38" s="13">
        <v>159.9700</v>
      </c>
      <c r="J38" s="13">
        <v>135.1000</v>
      </c>
      <c r="K38" s="13">
        <v>144.6400</v>
      </c>
      <c r="L38" s="13">
        <v>118.7500</v>
      </c>
      <c r="M38" s="13">
        <v>117.8300</v>
      </c>
      <c r="N38" s="13">
        <f ca="1">(((((((((((B38 + C38) + D38) + E38) + F38) + G38) + H38) + I38) + J38) + K38) + L38) + M38)</f>
        <v>0</v>
      </c>
    </row>
    <row r="39" ht="10.95" customHeight="true" customFormat="true" s="9">
      <c r="A39" s="12" t="s">
        <v>46</v>
      </c>
      <c r="B39" s="13">
        <v>0</v>
      </c>
      <c r="C39" s="13">
        <v>0</v>
      </c>
      <c r="D39" s="13">
        <v>0</v>
      </c>
      <c r="E39" s="13">
        <v>199.1000</v>
      </c>
      <c r="F39" s="13">
        <v>357.8000</v>
      </c>
      <c r="G39" s="13">
        <v>565.7100</v>
      </c>
      <c r="H39" s="13">
        <v>361.7900</v>
      </c>
      <c r="I39" s="13">
        <v>428.6800</v>
      </c>
      <c r="J39" s="13">
        <v>280.9400</v>
      </c>
      <c r="K39" s="13">
        <v>85.1900</v>
      </c>
      <c r="L39" s="13">
        <v>4029.4100</v>
      </c>
      <c r="M39" s="13">
        <v>64.5500</v>
      </c>
      <c r="N39" s="13">
        <f ca="1">(((((((((((B39 + C39) + D39) + E39) + F39) + G39) + H39) + I39) + J39) + K39) + L39) + M39)</f>
        <v>0</v>
      </c>
    </row>
    <row r="40" ht="10.95" customHeight="true" customFormat="true" s="9">
      <c r="A40" s="12" t="s">
        <v>47</v>
      </c>
      <c r="B40" s="13">
        <v>-47.1800</v>
      </c>
      <c r="C40" s="13">
        <v>842.2900</v>
      </c>
      <c r="D40" s="13">
        <v>553.2700</v>
      </c>
      <c r="E40" s="13">
        <v>872.9400</v>
      </c>
      <c r="F40" s="13">
        <v>340.8300</v>
      </c>
      <c r="G40" s="13">
        <v>483.0800</v>
      </c>
      <c r="H40" s="13">
        <v>2692.3100</v>
      </c>
      <c r="I40" s="13">
        <v>1152.9200</v>
      </c>
      <c r="J40" s="13">
        <v>152.9200</v>
      </c>
      <c r="K40" s="13">
        <v>540.7600</v>
      </c>
      <c r="L40" s="13">
        <v>785.9600</v>
      </c>
      <c r="M40" s="13">
        <v>352.0000</v>
      </c>
      <c r="N40" s="13">
        <f ca="1">(((((((((((B40 + C40) + D40) + E40) + F40) + G40) + H40) + I40) + J40) + K40) + L40) + M40)</f>
        <v>0</v>
      </c>
    </row>
    <row r="41" ht="10.95" customHeight="true" customFormat="true" s="9">
      <c r="A41" s="12" t="s">
        <v>48</v>
      </c>
      <c r="B41" s="13">
        <v>1842.5300</v>
      </c>
      <c r="C41" s="13">
        <v>532.1600</v>
      </c>
      <c r="D41" s="13">
        <v>84.2500</v>
      </c>
      <c r="E41" s="13">
        <v>145.6000</v>
      </c>
      <c r="F41" s="13">
        <v>126.8700</v>
      </c>
      <c r="G41" s="13">
        <v>0</v>
      </c>
      <c r="H41" s="13">
        <v>1015.5300</v>
      </c>
      <c r="I41" s="13">
        <v>190.8200</v>
      </c>
      <c r="J41" s="13">
        <v>133.4100</v>
      </c>
      <c r="K41" s="13">
        <v>316.3300</v>
      </c>
      <c r="L41" s="13">
        <v>236.3300</v>
      </c>
      <c r="M41" s="13">
        <v>284.6400</v>
      </c>
      <c r="N41" s="13">
        <f ca="1">(((((((((((B41 + C41) + D41) + E41) + F41) + G41) + H41) + I41) + J41) + K41) + L41) + M41)</f>
        <v>0</v>
      </c>
    </row>
    <row r="42" ht="10.95" customHeight="true" customFormat="true" s="9">
      <c r="A42" s="12" t="s">
        <v>49</v>
      </c>
      <c r="B42" s="13">
        <v>2310.9100</v>
      </c>
      <c r="C42" s="13">
        <v>2310.9100</v>
      </c>
      <c r="D42" s="13">
        <v>2310.9100</v>
      </c>
      <c r="E42" s="13">
        <v>2310.9100</v>
      </c>
      <c r="F42" s="13">
        <v>2310.9100</v>
      </c>
      <c r="G42" s="13">
        <v>2310.9100</v>
      </c>
      <c r="H42" s="13">
        <v>2310.9100</v>
      </c>
      <c r="I42" s="13">
        <v>2310.9100</v>
      </c>
      <c r="J42" s="13">
        <v>2310.9100</v>
      </c>
      <c r="K42" s="13">
        <v>2310.9100</v>
      </c>
      <c r="L42" s="13">
        <v>2226.3600</v>
      </c>
      <c r="M42" s="13">
        <v>2226.3600</v>
      </c>
      <c r="N42" s="13">
        <f ca="1">(((((((((((B42 + C42) + D42) + E42) + F42) + G42) + H42) + I42) + J42) + K42) + L42) + M42)</f>
        <v>0</v>
      </c>
    </row>
    <row r="43" ht="10.95" customHeight="true" customFormat="true" s="9">
      <c r="A43" s="12" t="s">
        <v>50</v>
      </c>
      <c r="B43" s="13">
        <v>296.8600</v>
      </c>
      <c r="C43" s="13">
        <v>0</v>
      </c>
      <c r="D43" s="13">
        <v>0</v>
      </c>
      <c r="E43" s="13">
        <v>0</v>
      </c>
      <c r="F43" s="13">
        <v>286.3500</v>
      </c>
      <c r="G43" s="13">
        <v>711.9900</v>
      </c>
      <c r="H43" s="13">
        <v>231.6400</v>
      </c>
      <c r="I43" s="13">
        <v>182.7800</v>
      </c>
      <c r="J43" s="13">
        <v>2048.7300</v>
      </c>
      <c r="K43" s="13">
        <v>0</v>
      </c>
      <c r="L43" s="13">
        <v>82.6000</v>
      </c>
      <c r="M43" s="13">
        <v>0</v>
      </c>
      <c r="N43" s="13">
        <f ca="1">(((((((((((B43 + C43) + D43) + E43) + F43) + G43) + H43) + I43) + J43) + K43) + L43) + M43)</f>
        <v>0</v>
      </c>
    </row>
    <row r="44" ht="10.95" customHeight="true" customFormat="true" s="9">
      <c r="A44" s="12" t="s">
        <v>51</v>
      </c>
      <c r="B44" s="13">
        <v>2289.1900</v>
      </c>
      <c r="C44" s="13">
        <v>1982.1300</v>
      </c>
      <c r="D44" s="13">
        <v>2084.4100</v>
      </c>
      <c r="E44" s="13">
        <v>2733.7600</v>
      </c>
      <c r="F44" s="13">
        <v>1612.6800</v>
      </c>
      <c r="G44" s="13">
        <v>2198.4500</v>
      </c>
      <c r="H44" s="13">
        <v>1530.7700</v>
      </c>
      <c r="I44" s="13">
        <v>1487.2100</v>
      </c>
      <c r="J44" s="13">
        <v>2244.6800</v>
      </c>
      <c r="K44" s="13">
        <v>1495.8600</v>
      </c>
      <c r="L44" s="13">
        <v>1331.9600</v>
      </c>
      <c r="M44" s="13">
        <v>1364.2100</v>
      </c>
      <c r="N44" s="13">
        <f ca="1">(((((((((((B44 + C44) + D44) + E44) + F44) + G44) + H44) + I44) + J44) + K44) + L44) + M44)</f>
        <v>0</v>
      </c>
    </row>
    <row r="45" ht="10.95" customHeight="true" customFormat="true" s="9">
      <c r="A45" s="12" t="s">
        <v>52</v>
      </c>
      <c r="B45" s="13">
        <v>761.6500</v>
      </c>
      <c r="C45" s="13">
        <v>445.8000</v>
      </c>
      <c r="D45" s="13">
        <v>151.6200</v>
      </c>
      <c r="E45" s="13">
        <v>60.7100</v>
      </c>
      <c r="F45" s="13">
        <v>211.7300</v>
      </c>
      <c r="G45" s="13">
        <v>515.9600</v>
      </c>
      <c r="H45" s="13">
        <v>612.3900</v>
      </c>
      <c r="I45" s="13">
        <v>548.1000</v>
      </c>
      <c r="J45" s="13">
        <v>582.1600</v>
      </c>
      <c r="K45" s="13">
        <v>415.0900</v>
      </c>
      <c r="L45" s="13">
        <v>285.6800</v>
      </c>
      <c r="M45" s="13">
        <v>162.2400</v>
      </c>
      <c r="N45" s="13">
        <f ca="1">(((((((((((B45 + C45) + D45) + E45) + F45) + G45) + H45) + I45) + J45) + K45) + L45) + M45)</f>
        <v>0</v>
      </c>
    </row>
    <row r="46" ht="10.95" customHeight="true" customFormat="true" s="9">
      <c r="A46" s="12" t="s">
        <v>53</v>
      </c>
      <c r="B46" s="13">
        <v>523.2500</v>
      </c>
      <c r="C46" s="13">
        <v>487.2400</v>
      </c>
      <c r="D46" s="13">
        <v>763.8300</v>
      </c>
      <c r="E46" s="13">
        <v>476.9400</v>
      </c>
      <c r="F46" s="13">
        <v>602.8700</v>
      </c>
      <c r="G46" s="13">
        <v>490.0800</v>
      </c>
      <c r="H46" s="13">
        <v>742.2500</v>
      </c>
      <c r="I46" s="13">
        <v>518.8100</v>
      </c>
      <c r="J46" s="13">
        <v>553.5700</v>
      </c>
      <c r="K46" s="13">
        <v>543.0400</v>
      </c>
      <c r="L46" s="13">
        <v>625.2000</v>
      </c>
      <c r="M46" s="13">
        <v>247.2700</v>
      </c>
      <c r="N46" s="13">
        <f ca="1">(((((((((((B46 + C46) + D46) + E46) + F46) + G46) + H46) + I46) + J46) + K46) + L46) + M46)</f>
        <v>0</v>
      </c>
    </row>
    <row r="47" ht="10.95" customHeight="true" customFormat="true" s="9">
      <c r="A47" s="12" t="s">
        <v>54</v>
      </c>
      <c r="B47" s="13">
        <v>92.6100</v>
      </c>
      <c r="C47" s="13">
        <v>552.3800</v>
      </c>
      <c r="D47" s="13">
        <v>33.5800</v>
      </c>
      <c r="E47" s="13">
        <v>32.6900</v>
      </c>
      <c r="F47" s="13">
        <v>32.8700</v>
      </c>
      <c r="G47" s="13">
        <v>33.5500</v>
      </c>
      <c r="H47" s="13">
        <v>32.3600</v>
      </c>
      <c r="I47" s="13">
        <v>37.8600</v>
      </c>
      <c r="J47" s="13">
        <v>174.6300</v>
      </c>
      <c r="K47" s="13">
        <v>181.8500</v>
      </c>
      <c r="L47" s="13">
        <v>15.6800</v>
      </c>
      <c r="M47" s="13">
        <v>15.3000</v>
      </c>
      <c r="N47" s="13">
        <f ca="1">(((((((((((B47 + C47) + D47) + E47) + F47) + G47) + H47) + I47) + J47) + K47) + L47) + M47)</f>
        <v>0</v>
      </c>
    </row>
    <row r="48" ht="10.95" customHeight="true" customFormat="true" s="9">
      <c r="A48" s="12" t="s">
        <v>55</v>
      </c>
      <c r="B48" s="13">
        <v>1286.2600</v>
      </c>
      <c r="C48" s="13">
        <v>1140.4700</v>
      </c>
      <c r="D48" s="13">
        <v>549.8700</v>
      </c>
      <c r="E48" s="13">
        <v>329.1900</v>
      </c>
      <c r="F48" s="13">
        <v>100.2400</v>
      </c>
      <c r="G48" s="13">
        <v>175.1300</v>
      </c>
      <c r="H48" s="13">
        <v>1898.0400</v>
      </c>
      <c r="I48" s="13">
        <v>2698.9100</v>
      </c>
      <c r="J48" s="13">
        <v>1515.4600</v>
      </c>
      <c r="K48" s="13">
        <v>271.7000</v>
      </c>
      <c r="L48" s="13">
        <v>451.5900</v>
      </c>
      <c r="M48" s="13">
        <v>204.6100</v>
      </c>
      <c r="N48" s="13">
        <f ca="1">(((((((((((B48 + C48) + D48) + E48) + F48) + G48) + H48) + I48) + J48) + K48) + L48) + M48)</f>
        <v>0</v>
      </c>
    </row>
    <row r="49" ht="10.95" customHeight="true" customFormat="true" s="9">
      <c r="A49" s="12" t="s">
        <v>56</v>
      </c>
      <c r="B49" s="13">
        <v>1019.7200</v>
      </c>
      <c r="C49" s="13">
        <v>0</v>
      </c>
      <c r="D49" s="13">
        <v>0</v>
      </c>
      <c r="E49" s="13">
        <v>9526.6700</v>
      </c>
      <c r="F49" s="13">
        <v>1256.0800</v>
      </c>
      <c r="G49" s="13">
        <v>0</v>
      </c>
      <c r="H49" s="13">
        <v>10031.3200</v>
      </c>
      <c r="I49" s="13">
        <v>0</v>
      </c>
      <c r="J49" s="13">
        <v>0</v>
      </c>
      <c r="K49" s="13">
        <v>0</v>
      </c>
      <c r="L49" s="13">
        <v>0</v>
      </c>
      <c r="M49" s="13">
        <v>4586.9600</v>
      </c>
      <c r="N49" s="13">
        <f ca="1">(((((((((((B49 + C49) + D49) + E49) + F49) + G49) + H49) + I49) + J49) + K49) + L49) + M49)</f>
        <v>0</v>
      </c>
    </row>
    <row r="50" ht="10.95" customHeight="true" customFormat="true" s="9">
      <c r="A50" s="12" t="s">
        <v>57</v>
      </c>
      <c r="B50" s="13">
        <v>8804.2900</v>
      </c>
      <c r="C50" s="13">
        <v>2244.0600</v>
      </c>
      <c r="D50" s="13">
        <v>1335.3300</v>
      </c>
      <c r="E50" s="13">
        <v>1501.3800</v>
      </c>
      <c r="F50" s="13">
        <v>4074.4500</v>
      </c>
      <c r="G50" s="13">
        <v>3755.8600</v>
      </c>
      <c r="H50" s="13">
        <v>1486.7600</v>
      </c>
      <c r="I50" s="13">
        <v>1683.7100</v>
      </c>
      <c r="J50" s="13">
        <v>817.7000</v>
      </c>
      <c r="K50" s="13">
        <v>7439.6000</v>
      </c>
      <c r="L50" s="13">
        <v>1756.8200</v>
      </c>
      <c r="M50" s="13">
        <v>1483.6600</v>
      </c>
      <c r="N50" s="13">
        <f ca="1">(((((((((((B50 + C50) + D50) + E50) + F50) + G50) + H50) + I50) + J50) + K50) + L50) + M50)</f>
        <v>0</v>
      </c>
    </row>
    <row r="51" ht="10.95" customHeight="true" customFormat="true" s="9">
      <c r="A51" s="12" t="s">
        <v>58</v>
      </c>
      <c r="B51" s="13">
        <v>1611.3200</v>
      </c>
      <c r="C51" s="13">
        <v>1535.3200</v>
      </c>
      <c r="D51" s="13">
        <v>4053.4400</v>
      </c>
      <c r="E51" s="13">
        <v>1612.0100</v>
      </c>
      <c r="F51" s="13">
        <v>1612.0100</v>
      </c>
      <c r="G51" s="13">
        <v>1612.0100</v>
      </c>
      <c r="H51" s="13">
        <v>0</v>
      </c>
      <c r="I51" s="13">
        <v>1612.0100</v>
      </c>
      <c r="J51" s="13">
        <v>1612.0100</v>
      </c>
      <c r="K51" s="13">
        <v>1612.0100</v>
      </c>
      <c r="L51" s="13">
        <v>3224.0200</v>
      </c>
      <c r="M51" s="13">
        <v>1410.7500</v>
      </c>
      <c r="N51" s="13">
        <f ca="1">(((((((((((B51 + C51) + D51) + E51) + F51) + G51) + H51) + I51) + J51) + K51) + L51) + M51)</f>
        <v>0</v>
      </c>
    </row>
    <row r="52" ht="10.95" customHeight="true" customFormat="true" s="9">
      <c r="A52" s="12" t="s">
        <v>59</v>
      </c>
      <c r="B52" s="13">
        <v>917.6100</v>
      </c>
      <c r="C52" s="13">
        <v>29420.8700</v>
      </c>
      <c r="D52" s="13">
        <v>44065.4400</v>
      </c>
      <c r="E52" s="13">
        <v>0</v>
      </c>
      <c r="F52" s="13">
        <v>0</v>
      </c>
      <c r="G52" s="13">
        <v>0</v>
      </c>
      <c r="H52" s="13">
        <v>449.6800</v>
      </c>
      <c r="I52" s="13">
        <v>0</v>
      </c>
      <c r="J52" s="13">
        <v>0</v>
      </c>
      <c r="K52" s="13">
        <v>0</v>
      </c>
      <c r="L52" s="13">
        <v>415.9600</v>
      </c>
      <c r="M52" s="13">
        <v>0</v>
      </c>
      <c r="N52" s="13">
        <f ca="1">(((((((((((B52 + C52) + D52) + E52) + F52) + G52) + H52) + I52) + J52) + K52) + L52) + M52)</f>
        <v>0</v>
      </c>
    </row>
    <row r="53" ht="10.95" customHeight="true" customFormat="true" s="9">
      <c r="A53" s="14" t="s">
        <v>60</v>
      </c>
      <c r="B53" s="15">
        <f ca="1">SUM(B22:B52)</f>
        <v>0</v>
      </c>
      <c r="C53" s="15">
        <f ca="1">SUM(C22:C52)</f>
        <v>0</v>
      </c>
      <c r="D53" s="15">
        <f ca="1">SUM(D22:D52)</f>
        <v>0</v>
      </c>
      <c r="E53" s="15">
        <f ca="1">SUM(E22:E52)</f>
        <v>0</v>
      </c>
      <c r="F53" s="15">
        <f ca="1">SUM(F22:F52)</f>
        <v>0</v>
      </c>
      <c r="G53" s="15">
        <f ca="1">SUM(G22:G52)</f>
        <v>0</v>
      </c>
      <c r="H53" s="15">
        <f ca="1">SUM(H22:H52)</f>
        <v>0</v>
      </c>
      <c r="I53" s="15">
        <f ca="1">SUM(I22:I52)</f>
        <v>0</v>
      </c>
      <c r="J53" s="15">
        <f ca="1">SUM(J22:J52)</f>
        <v>0</v>
      </c>
      <c r="K53" s="15">
        <f ca="1">SUM(K22:K52)</f>
        <v>0</v>
      </c>
      <c r="L53" s="15">
        <f ca="1">SUM(L22:L52)</f>
        <v>0</v>
      </c>
      <c r="M53" s="15">
        <f ca="1">SUM(M22:M52)</f>
        <v>0</v>
      </c>
      <c r="N53" s="15">
        <f ca="1">(((((((((((B53 + C53) + D53) + E53) + F53) + G53) + H53) + I53) + J53) + K53) + L53) + M53)</f>
        <v>0</v>
      </c>
    </row>
    <row r="54" ht="13.35" customHeight="true"/>
    <row r="55" ht="10.95" customHeight="true" customFormat="true" s="9">
      <c r="A55" s="16" t="s">
        <v>61</v>
      </c>
      <c r="B55" s="17">
        <f ca="1">((B15 + B19) - B53)</f>
        <v>0</v>
      </c>
      <c r="C55" s="17">
        <f ca="1">((C15 + C19) - C53)</f>
        <v>0</v>
      </c>
      <c r="D55" s="17">
        <f ca="1">((D15 + D19) - D53)</f>
        <v>0</v>
      </c>
      <c r="E55" s="17">
        <f ca="1">((E15 + E19) - E53)</f>
        <v>0</v>
      </c>
      <c r="F55" s="17">
        <f ca="1">((F15 + F19) - F53)</f>
        <v>0</v>
      </c>
      <c r="G55" s="17">
        <f ca="1">((G15 + G19) - G53)</f>
        <v>0</v>
      </c>
      <c r="H55" s="17">
        <f ca="1">((H15 + H19) - H53)</f>
        <v>0</v>
      </c>
      <c r="I55" s="17">
        <f ca="1">((I15 + I19) - I53)</f>
        <v>0</v>
      </c>
      <c r="J55" s="17">
        <f ca="1">((J15 + J19) - J53)</f>
        <v>0</v>
      </c>
      <c r="K55" s="17">
        <f ca="1">((K15 + K19) - K53)</f>
        <v>0</v>
      </c>
      <c r="L55" s="17">
        <f ca="1">((L15 + L19) - L53)</f>
        <v>0</v>
      </c>
      <c r="M55" s="17">
        <f ca="1">((M15 + M19) - M53)</f>
        <v>0</v>
      </c>
      <c r="N55" s="17">
        <f ca="1">(((((((((((B55 + C55) + D55) + E55) + F55) + G55) + H55) + I55) + J55) + K55) + L55) + M55)</f>
        <v>0</v>
      </c>
    </row>
    <row r="56" ht="13.35" customHeight="true"/>
    <row r="57" ht="12.1" customHeight="true" customFormat="true" s="5">
      <c r="A57" s="8" t="s">
        <v>62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10.95" customHeight="true" customFormat="true" s="9">
      <c r="A58" s="10" t="s">
        <v>63</v>
      </c>
      <c r="B58" s="11">
        <v>170769.9800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f ca="1">(((((((((((B58 + C58) + D58) + E58) + F58) + G58) + H58) + I58) + J58) + K58) + L58) + M58)</f>
        <v>0</v>
      </c>
    </row>
    <row r="59" ht="10.95" customHeight="true" customFormat="true" s="9">
      <c r="A59" s="12" t="s">
        <v>64</v>
      </c>
      <c r="B59" s="13">
        <v>512309.9200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f ca="1">(((((((((((B59 + C59) + D59) + E59) + F59) + G59) + H59) + I59) + J59) + K59) + L59) + M59)</f>
        <v>0</v>
      </c>
    </row>
    <row r="60" ht="10.95" customHeight="true" customFormat="true" s="9">
      <c r="A60" s="14" t="s">
        <v>65</v>
      </c>
      <c r="B60" s="15">
        <f ca="1">SUM(B58:B59)</f>
        <v>0</v>
      </c>
      <c r="C60" s="15">
        <f ca="1">SUM(C58:C59)</f>
        <v>0</v>
      </c>
      <c r="D60" s="15">
        <f ca="1">SUM(D58:D59)</f>
        <v>0</v>
      </c>
      <c r="E60" s="15">
        <f ca="1">SUM(E58:E59)</f>
        <v>0</v>
      </c>
      <c r="F60" s="15">
        <f ca="1">SUM(F58:F59)</f>
        <v>0</v>
      </c>
      <c r="G60" s="15">
        <f ca="1">SUM(G58:G59)</f>
        <v>0</v>
      </c>
      <c r="H60" s="15">
        <f ca="1">SUM(H58:H59)</f>
        <v>0</v>
      </c>
      <c r="I60" s="15">
        <f ca="1">SUM(I58:I59)</f>
        <v>0</v>
      </c>
      <c r="J60" s="15">
        <f ca="1">SUM(J58:J59)</f>
        <v>0</v>
      </c>
      <c r="K60" s="15">
        <f ca="1">SUM(K58:K59)</f>
        <v>0</v>
      </c>
      <c r="L60" s="15">
        <f ca="1">SUM(L58:L59)</f>
        <v>0</v>
      </c>
      <c r="M60" s="15">
        <f ca="1">SUM(M58:M59)</f>
        <v>0</v>
      </c>
      <c r="N60" s="15">
        <f ca="1">(((((((((((B60 + C60) + D60) + E60) + F60) + G60) + H60) + I60) + J60) + K60) + L60) + M60)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