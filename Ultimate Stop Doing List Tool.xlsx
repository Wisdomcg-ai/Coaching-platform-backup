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6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mattmalouf/Desktop/business-coaching-platform/"/>
    </mc:Choice>
  </mc:AlternateContent>
  <xr:revisionPtr revIDLastSave="0" documentId="8_{D1406708-A4F5-3046-8081-1336BF3BE92F}" xr6:coauthVersionLast="47" xr6:coauthVersionMax="47" xr10:uidLastSave="{00000000-0000-0000-0000-000000000000}"/>
  <bookViews>
    <workbookView xWindow="0" yWindow="700" windowWidth="34200" windowHeight="19600" tabRatio="788" activeTab="1" xr2:uid="{00000000-000D-0000-FFFF-FFFF00000000}"/>
  </bookViews>
  <sheets>
    <sheet name="Basic Time Log" sheetId="16" r:id="rId1"/>
    <sheet name="Advanced Time Log" sheetId="15" r:id="rId2"/>
    <sheet name="Step 1- Hrly Rate Calc" sheetId="2" r:id="rId3"/>
    <sheet name="Step 2- Activity Inventory" sheetId="3" r:id="rId4"/>
    <sheet name="Step 3 - Your Stop Doing List " sheetId="12" r:id="rId5"/>
    <sheet name="Temp" sheetId="14" state="hidden" r:id="rId6"/>
  </sheets>
  <definedNames>
    <definedName name="_xlnm.Print_Area" localSheetId="4">'Step 3 - Your Stop Doing List '!$B$2:$P$22</definedName>
    <definedName name="zone">'Step 2- Activity Inventory'!$AR$3:$AS$7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18" i="2" l="1"/>
  <c r="I12" i="3"/>
  <c r="J12" i="3"/>
  <c r="K12" i="3"/>
  <c r="L12" i="3"/>
  <c r="F12" i="3"/>
  <c r="M12" i="3" s="1"/>
  <c r="N12" i="3"/>
  <c r="F13" i="3"/>
  <c r="M13" i="3" s="1"/>
  <c r="L13" i="3"/>
  <c r="K13" i="3"/>
  <c r="I13" i="3"/>
  <c r="J13" i="3"/>
  <c r="I14" i="3"/>
  <c r="J14" i="3"/>
  <c r="K14" i="3"/>
  <c r="L14" i="3"/>
  <c r="F14" i="3"/>
  <c r="M14" i="3" s="1"/>
  <c r="N14" i="3"/>
  <c r="I15" i="3"/>
  <c r="J15" i="3"/>
  <c r="K15" i="3"/>
  <c r="L15" i="3"/>
  <c r="F15" i="3"/>
  <c r="N15" i="3"/>
  <c r="F16" i="3"/>
  <c r="M16" i="3" s="1"/>
  <c r="L16" i="3"/>
  <c r="K16" i="3"/>
  <c r="I16" i="3"/>
  <c r="J16" i="3"/>
  <c r="N16" i="3"/>
  <c r="F17" i="3"/>
  <c r="E14" i="12" s="1"/>
  <c r="F14" i="12" s="1"/>
  <c r="L17" i="3"/>
  <c r="K17" i="3"/>
  <c r="I17" i="3"/>
  <c r="J17" i="3"/>
  <c r="N17" i="3"/>
  <c r="I18" i="3"/>
  <c r="J18" i="3"/>
  <c r="K18" i="3"/>
  <c r="L18" i="3"/>
  <c r="F18" i="3"/>
  <c r="N18" i="3"/>
  <c r="F19" i="3"/>
  <c r="M19" i="3" s="1"/>
  <c r="L19" i="3"/>
  <c r="I19" i="3"/>
  <c r="J19" i="3"/>
  <c r="K19" i="3"/>
  <c r="N19" i="3"/>
  <c r="L20" i="3"/>
  <c r="F20" i="3"/>
  <c r="K20" i="3"/>
  <c r="I20" i="3"/>
  <c r="L21" i="3"/>
  <c r="F21" i="3"/>
  <c r="K21" i="3"/>
  <c r="I21" i="3"/>
  <c r="J21" i="3"/>
  <c r="N21" i="3"/>
  <c r="L22" i="3"/>
  <c r="F22" i="3"/>
  <c r="M22" i="3" s="1"/>
  <c r="K22" i="3"/>
  <c r="I22" i="3"/>
  <c r="J22" i="3"/>
  <c r="N22" i="3"/>
  <c r="L23" i="3"/>
  <c r="F23" i="3"/>
  <c r="E20" i="12" s="1"/>
  <c r="F20" i="12" s="1"/>
  <c r="K23" i="3"/>
  <c r="I23" i="3"/>
  <c r="J23" i="3"/>
  <c r="N23" i="3"/>
  <c r="L24" i="3"/>
  <c r="F24" i="3"/>
  <c r="E21" i="12" s="1"/>
  <c r="F21" i="12" s="1"/>
  <c r="K24" i="3"/>
  <c r="I24" i="3"/>
  <c r="J24" i="3"/>
  <c r="N24" i="3"/>
  <c r="L25" i="3"/>
  <c r="F25" i="3"/>
  <c r="K25" i="3"/>
  <c r="I25" i="3"/>
  <c r="L26" i="3"/>
  <c r="F26" i="3"/>
  <c r="M26" i="3"/>
  <c r="K26" i="3"/>
  <c r="I26" i="3"/>
  <c r="E23" i="12"/>
  <c r="F23" i="12" s="1"/>
  <c r="L27" i="3"/>
  <c r="F27" i="3"/>
  <c r="E24" i="12" s="1"/>
  <c r="M27" i="3"/>
  <c r="K27" i="3"/>
  <c r="I27" i="3"/>
  <c r="J27" i="3"/>
  <c r="N27" i="3"/>
  <c r="L28" i="3"/>
  <c r="F28" i="3"/>
  <c r="E25" i="12" s="1"/>
  <c r="K28" i="3"/>
  <c r="I28" i="3"/>
  <c r="J28" i="3"/>
  <c r="N28" i="3"/>
  <c r="L29" i="3"/>
  <c r="F29" i="3"/>
  <c r="M29" i="3" s="1"/>
  <c r="K29" i="3"/>
  <c r="I29" i="3"/>
  <c r="J29" i="3"/>
  <c r="N29" i="3"/>
  <c r="L30" i="3"/>
  <c r="F30" i="3"/>
  <c r="E27" i="12" s="1"/>
  <c r="K30" i="3"/>
  <c r="I30" i="3"/>
  <c r="J30" i="3"/>
  <c r="N30" i="3"/>
  <c r="L31" i="3"/>
  <c r="F31" i="3"/>
  <c r="E28" i="12" s="1"/>
  <c r="F28" i="12" s="1"/>
  <c r="K31" i="3"/>
  <c r="I31" i="3"/>
  <c r="J31" i="3"/>
  <c r="N31" i="3"/>
  <c r="L32" i="3"/>
  <c r="F32" i="3"/>
  <c r="M32" i="3"/>
  <c r="K32" i="3"/>
  <c r="I32" i="3"/>
  <c r="J32" i="3"/>
  <c r="N32" i="3"/>
  <c r="E29" i="12"/>
  <c r="F29" i="12" s="1"/>
  <c r="L33" i="3"/>
  <c r="F33" i="3"/>
  <c r="K33" i="3"/>
  <c r="I33" i="3"/>
  <c r="L34" i="3"/>
  <c r="F34" i="3"/>
  <c r="E31" i="12" s="1"/>
  <c r="F31" i="12" s="1"/>
  <c r="K34" i="3"/>
  <c r="I34" i="3"/>
  <c r="L35" i="3"/>
  <c r="F35" i="3"/>
  <c r="K35" i="3"/>
  <c r="I35" i="3"/>
  <c r="J35" i="3"/>
  <c r="N35" i="3"/>
  <c r="L36" i="3"/>
  <c r="F36" i="3"/>
  <c r="M36" i="3"/>
  <c r="K36" i="3"/>
  <c r="I36" i="3"/>
  <c r="J36" i="3"/>
  <c r="E33" i="12"/>
  <c r="L37" i="3"/>
  <c r="F37" i="3"/>
  <c r="K37" i="3"/>
  <c r="I37" i="3"/>
  <c r="J37" i="3"/>
  <c r="N37" i="3"/>
  <c r="L38" i="3"/>
  <c r="F38" i="3"/>
  <c r="M38" i="3" s="1"/>
  <c r="K38" i="3"/>
  <c r="I38" i="3"/>
  <c r="J38" i="3"/>
  <c r="E35" i="12"/>
  <c r="F35" i="12" s="1"/>
  <c r="K493" i="3"/>
  <c r="I11" i="3"/>
  <c r="J11" i="3"/>
  <c r="K11" i="3"/>
  <c r="L11" i="3"/>
  <c r="F11" i="3"/>
  <c r="E8" i="12" s="1"/>
  <c r="F8" i="12" s="1"/>
  <c r="N11" i="3"/>
  <c r="F24" i="12"/>
  <c r="F27" i="12"/>
  <c r="F33" i="12"/>
  <c r="BY27" i="15"/>
  <c r="BY28" i="15"/>
  <c r="BY29" i="15"/>
  <c r="BY30" i="15"/>
  <c r="BY31" i="15"/>
  <c r="BY32" i="15"/>
  <c r="BY33" i="15"/>
  <c r="BY34" i="15"/>
  <c r="BY35" i="15"/>
  <c r="BY26" i="15"/>
  <c r="M31" i="15"/>
  <c r="M30" i="15"/>
  <c r="M32" i="15"/>
  <c r="M33" i="15"/>
  <c r="M34" i="15"/>
  <c r="N34" i="15" s="1"/>
  <c r="M35" i="15"/>
  <c r="M36" i="15"/>
  <c r="N36" i="15" s="1"/>
  <c r="M37" i="15"/>
  <c r="M38" i="15"/>
  <c r="M39" i="15"/>
  <c r="N39" i="15" s="1"/>
  <c r="M13" i="15"/>
  <c r="M14" i="15"/>
  <c r="M15" i="15"/>
  <c r="M16" i="15"/>
  <c r="M17" i="15"/>
  <c r="M18" i="15"/>
  <c r="M19" i="15"/>
  <c r="M20" i="15"/>
  <c r="M21" i="15"/>
  <c r="M22" i="15"/>
  <c r="M23" i="15"/>
  <c r="N23" i="15" s="1"/>
  <c r="M24" i="15"/>
  <c r="N24" i="15" s="1"/>
  <c r="M25" i="15"/>
  <c r="M26" i="15"/>
  <c r="O22" i="15" s="1"/>
  <c r="N31" i="15"/>
  <c r="N32" i="15"/>
  <c r="N33" i="15"/>
  <c r="N35" i="15"/>
  <c r="N37" i="15"/>
  <c r="N38" i="15"/>
  <c r="BY14" i="15"/>
  <c r="BY15" i="15"/>
  <c r="BY16" i="15"/>
  <c r="BY17" i="15"/>
  <c r="BY18" i="15"/>
  <c r="BY19" i="15"/>
  <c r="BY20" i="15"/>
  <c r="BY21" i="15"/>
  <c r="BY22" i="15"/>
  <c r="BY23" i="15"/>
  <c r="BY24" i="15"/>
  <c r="BY25" i="15"/>
  <c r="BY13" i="15"/>
  <c r="O24" i="15"/>
  <c r="N22" i="15"/>
  <c r="H8" i="16"/>
  <c r="I8" i="16" s="1"/>
  <c r="F500" i="3"/>
  <c r="M500" i="3" s="1"/>
  <c r="N500" i="3"/>
  <c r="F499" i="3"/>
  <c r="M499" i="3" s="1"/>
  <c r="N499" i="3"/>
  <c r="F498" i="3"/>
  <c r="M498" i="3" s="1"/>
  <c r="N498" i="3"/>
  <c r="F497" i="3"/>
  <c r="M497" i="3" s="1"/>
  <c r="N497" i="3"/>
  <c r="F496" i="3"/>
  <c r="M496" i="3" s="1"/>
  <c r="N496" i="3"/>
  <c r="F495" i="3"/>
  <c r="M495" i="3" s="1"/>
  <c r="N495" i="3"/>
  <c r="F494" i="3"/>
  <c r="M494" i="3" s="1"/>
  <c r="N494" i="3"/>
  <c r="F493" i="3"/>
  <c r="M493" i="3" s="1"/>
  <c r="N493" i="3"/>
  <c r="F492" i="3"/>
  <c r="M492" i="3" s="1"/>
  <c r="N492" i="3"/>
  <c r="F491" i="3"/>
  <c r="M491" i="3" s="1"/>
  <c r="N491" i="3"/>
  <c r="F490" i="3"/>
  <c r="M490" i="3"/>
  <c r="N490" i="3"/>
  <c r="F489" i="3"/>
  <c r="M489" i="3"/>
  <c r="N489" i="3"/>
  <c r="F488" i="3"/>
  <c r="M488" i="3" s="1"/>
  <c r="N488" i="3"/>
  <c r="F487" i="3"/>
  <c r="M487" i="3" s="1"/>
  <c r="N487" i="3"/>
  <c r="F486" i="3"/>
  <c r="M486" i="3" s="1"/>
  <c r="N486" i="3"/>
  <c r="F485" i="3"/>
  <c r="M485" i="3"/>
  <c r="N485" i="3"/>
  <c r="F484" i="3"/>
  <c r="M484" i="3" s="1"/>
  <c r="N484" i="3"/>
  <c r="F483" i="3"/>
  <c r="M483" i="3" s="1"/>
  <c r="N483" i="3"/>
  <c r="F482" i="3"/>
  <c r="M482" i="3" s="1"/>
  <c r="N482" i="3"/>
  <c r="F481" i="3"/>
  <c r="M481" i="3" s="1"/>
  <c r="N481" i="3"/>
  <c r="F480" i="3"/>
  <c r="M480" i="3" s="1"/>
  <c r="N480" i="3"/>
  <c r="F479" i="3"/>
  <c r="M479" i="3" s="1"/>
  <c r="N479" i="3"/>
  <c r="F478" i="3"/>
  <c r="M478" i="3"/>
  <c r="N478" i="3"/>
  <c r="F477" i="3"/>
  <c r="M477" i="3"/>
  <c r="N477" i="3"/>
  <c r="F476" i="3"/>
  <c r="M476" i="3" s="1"/>
  <c r="N476" i="3"/>
  <c r="F475" i="3"/>
  <c r="M475" i="3" s="1"/>
  <c r="N475" i="3"/>
  <c r="F474" i="3"/>
  <c r="M474" i="3" s="1"/>
  <c r="N474" i="3"/>
  <c r="F473" i="3"/>
  <c r="M473" i="3" s="1"/>
  <c r="N473" i="3"/>
  <c r="F472" i="3"/>
  <c r="M472" i="3" s="1"/>
  <c r="N472" i="3"/>
  <c r="F471" i="3"/>
  <c r="M471" i="3" s="1"/>
  <c r="N471" i="3"/>
  <c r="F470" i="3"/>
  <c r="M470" i="3" s="1"/>
  <c r="N470" i="3"/>
  <c r="F469" i="3"/>
  <c r="M469" i="3" s="1"/>
  <c r="N469" i="3"/>
  <c r="F468" i="3"/>
  <c r="M468" i="3"/>
  <c r="N468" i="3"/>
  <c r="F467" i="3"/>
  <c r="M467" i="3" s="1"/>
  <c r="N467" i="3"/>
  <c r="F466" i="3"/>
  <c r="M466" i="3" s="1"/>
  <c r="N466" i="3"/>
  <c r="F465" i="3"/>
  <c r="M465" i="3"/>
  <c r="N465" i="3"/>
  <c r="F464" i="3"/>
  <c r="M464" i="3"/>
  <c r="N464" i="3"/>
  <c r="F463" i="3"/>
  <c r="M463" i="3" s="1"/>
  <c r="N463" i="3"/>
  <c r="F462" i="3"/>
  <c r="M462" i="3"/>
  <c r="N462" i="3"/>
  <c r="F461" i="3"/>
  <c r="M461" i="3"/>
  <c r="N461" i="3"/>
  <c r="F460" i="3"/>
  <c r="M460" i="3"/>
  <c r="N460" i="3"/>
  <c r="F459" i="3"/>
  <c r="M459" i="3" s="1"/>
  <c r="N459" i="3"/>
  <c r="F458" i="3"/>
  <c r="M458" i="3"/>
  <c r="N458" i="3"/>
  <c r="F457" i="3"/>
  <c r="M457" i="3"/>
  <c r="N457" i="3"/>
  <c r="F456" i="3"/>
  <c r="M456" i="3"/>
  <c r="N456" i="3"/>
  <c r="F455" i="3"/>
  <c r="M455" i="3" s="1"/>
  <c r="N455" i="3"/>
  <c r="F454" i="3"/>
  <c r="M454" i="3"/>
  <c r="N454" i="3"/>
  <c r="F453" i="3"/>
  <c r="M453" i="3"/>
  <c r="N453" i="3"/>
  <c r="F452" i="3"/>
  <c r="M452" i="3" s="1"/>
  <c r="N452" i="3"/>
  <c r="F451" i="3"/>
  <c r="M451" i="3" s="1"/>
  <c r="N451" i="3"/>
  <c r="F450" i="3"/>
  <c r="M450" i="3"/>
  <c r="N450" i="3"/>
  <c r="F449" i="3"/>
  <c r="M449" i="3" s="1"/>
  <c r="N449" i="3"/>
  <c r="F448" i="3"/>
  <c r="M448" i="3" s="1"/>
  <c r="N448" i="3"/>
  <c r="F447" i="3"/>
  <c r="M447" i="3" s="1"/>
  <c r="N447" i="3"/>
  <c r="F446" i="3"/>
  <c r="M446" i="3" s="1"/>
  <c r="N446" i="3"/>
  <c r="F445" i="3"/>
  <c r="M445" i="3" s="1"/>
  <c r="N445" i="3"/>
  <c r="F444" i="3"/>
  <c r="M444" i="3" s="1"/>
  <c r="N444" i="3"/>
  <c r="F443" i="3"/>
  <c r="M443" i="3" s="1"/>
  <c r="N443" i="3"/>
  <c r="F442" i="3"/>
  <c r="M442" i="3" s="1"/>
  <c r="N442" i="3"/>
  <c r="F441" i="3"/>
  <c r="M441" i="3" s="1"/>
  <c r="N441" i="3"/>
  <c r="F440" i="3"/>
  <c r="M440" i="3"/>
  <c r="N440" i="3"/>
  <c r="F439" i="3"/>
  <c r="M439" i="3" s="1"/>
  <c r="N439" i="3"/>
  <c r="F438" i="3"/>
  <c r="M438" i="3" s="1"/>
  <c r="N438" i="3"/>
  <c r="F437" i="3"/>
  <c r="M437" i="3" s="1"/>
  <c r="N437" i="3"/>
  <c r="F436" i="3"/>
  <c r="M436" i="3"/>
  <c r="N436" i="3"/>
  <c r="F435" i="3"/>
  <c r="M435" i="3" s="1"/>
  <c r="N435" i="3"/>
  <c r="F434" i="3"/>
  <c r="M434" i="3" s="1"/>
  <c r="N434" i="3"/>
  <c r="F433" i="3"/>
  <c r="M433" i="3"/>
  <c r="N433" i="3"/>
  <c r="F432" i="3"/>
  <c r="M432" i="3"/>
  <c r="N432" i="3"/>
  <c r="F431" i="3"/>
  <c r="M431" i="3" s="1"/>
  <c r="N431" i="3"/>
  <c r="F430" i="3"/>
  <c r="M430" i="3"/>
  <c r="N430" i="3"/>
  <c r="F429" i="3"/>
  <c r="M429" i="3"/>
  <c r="N429" i="3"/>
  <c r="F428" i="3"/>
  <c r="M428" i="3"/>
  <c r="N428" i="3"/>
  <c r="F427" i="3"/>
  <c r="M427" i="3" s="1"/>
  <c r="N427" i="3"/>
  <c r="F426" i="3"/>
  <c r="M426" i="3"/>
  <c r="N426" i="3"/>
  <c r="F425" i="3"/>
  <c r="M425" i="3"/>
  <c r="N425" i="3"/>
  <c r="F424" i="3"/>
  <c r="M424" i="3"/>
  <c r="N424" i="3"/>
  <c r="F423" i="3"/>
  <c r="M423" i="3" s="1"/>
  <c r="N423" i="3"/>
  <c r="F422" i="3"/>
  <c r="M422" i="3"/>
  <c r="N422" i="3"/>
  <c r="F421" i="3"/>
  <c r="M421" i="3"/>
  <c r="N421" i="3"/>
  <c r="F420" i="3"/>
  <c r="M420" i="3" s="1"/>
  <c r="N420" i="3"/>
  <c r="F419" i="3"/>
  <c r="M419" i="3" s="1"/>
  <c r="N419" i="3"/>
  <c r="F418" i="3"/>
  <c r="M418" i="3"/>
  <c r="N418" i="3"/>
  <c r="F417" i="3"/>
  <c r="M417" i="3" s="1"/>
  <c r="N417" i="3"/>
  <c r="F416" i="3"/>
  <c r="M416" i="3" s="1"/>
  <c r="N416" i="3"/>
  <c r="F415" i="3"/>
  <c r="M415" i="3" s="1"/>
  <c r="N415" i="3"/>
  <c r="F414" i="3"/>
  <c r="M414" i="3" s="1"/>
  <c r="N414" i="3"/>
  <c r="F413" i="3"/>
  <c r="M413" i="3" s="1"/>
  <c r="N413" i="3"/>
  <c r="F412" i="3"/>
  <c r="M412" i="3" s="1"/>
  <c r="N412" i="3"/>
  <c r="F411" i="3"/>
  <c r="M411" i="3" s="1"/>
  <c r="N411" i="3"/>
  <c r="F410" i="3"/>
  <c r="M410" i="3" s="1"/>
  <c r="N410" i="3"/>
  <c r="F409" i="3"/>
  <c r="M409" i="3" s="1"/>
  <c r="N409" i="3"/>
  <c r="F408" i="3"/>
  <c r="M408" i="3" s="1"/>
  <c r="N408" i="3"/>
  <c r="F407" i="3"/>
  <c r="M407" i="3" s="1"/>
  <c r="N407" i="3"/>
  <c r="F406" i="3"/>
  <c r="M406" i="3" s="1"/>
  <c r="N406" i="3"/>
  <c r="F405" i="3"/>
  <c r="M405" i="3" s="1"/>
  <c r="N405" i="3"/>
  <c r="F404" i="3"/>
  <c r="M404" i="3"/>
  <c r="N404" i="3"/>
  <c r="F403" i="3"/>
  <c r="M403" i="3" s="1"/>
  <c r="N403" i="3"/>
  <c r="F402" i="3"/>
  <c r="M402" i="3" s="1"/>
  <c r="N402" i="3"/>
  <c r="F401" i="3"/>
  <c r="M401" i="3"/>
  <c r="N401" i="3"/>
  <c r="F400" i="3"/>
  <c r="M400" i="3"/>
  <c r="N400" i="3"/>
  <c r="F399" i="3"/>
  <c r="M399" i="3" s="1"/>
  <c r="N399" i="3"/>
  <c r="F398" i="3"/>
  <c r="M398" i="3"/>
  <c r="N398" i="3"/>
  <c r="F397" i="3"/>
  <c r="M397" i="3"/>
  <c r="N397" i="3"/>
  <c r="F396" i="3"/>
  <c r="M396" i="3"/>
  <c r="N396" i="3"/>
  <c r="F395" i="3"/>
  <c r="M395" i="3" s="1"/>
  <c r="N395" i="3"/>
  <c r="F394" i="3"/>
  <c r="M394" i="3" s="1"/>
  <c r="N394" i="3"/>
  <c r="F393" i="3"/>
  <c r="M393" i="3" s="1"/>
  <c r="N393" i="3"/>
  <c r="F392" i="3"/>
  <c r="M392" i="3"/>
  <c r="N392" i="3"/>
  <c r="F391" i="3"/>
  <c r="M391" i="3" s="1"/>
  <c r="N391" i="3"/>
  <c r="F390" i="3"/>
  <c r="M390" i="3" s="1"/>
  <c r="N390" i="3"/>
  <c r="F389" i="3"/>
  <c r="M389" i="3" s="1"/>
  <c r="N389" i="3"/>
  <c r="F388" i="3"/>
  <c r="M388" i="3" s="1"/>
  <c r="N388" i="3"/>
  <c r="F387" i="3"/>
  <c r="M387" i="3" s="1"/>
  <c r="N387" i="3"/>
  <c r="F386" i="3"/>
  <c r="M386" i="3" s="1"/>
  <c r="N386" i="3"/>
  <c r="F385" i="3"/>
  <c r="M385" i="3"/>
  <c r="N385" i="3"/>
  <c r="F384" i="3"/>
  <c r="M384" i="3" s="1"/>
  <c r="N384" i="3"/>
  <c r="F383" i="3"/>
  <c r="M383" i="3" s="1"/>
  <c r="N383" i="3"/>
  <c r="F382" i="3"/>
  <c r="M382" i="3" s="1"/>
  <c r="N382" i="3"/>
  <c r="F381" i="3"/>
  <c r="M381" i="3"/>
  <c r="N381" i="3"/>
  <c r="F380" i="3"/>
  <c r="M380" i="3"/>
  <c r="N380" i="3"/>
  <c r="F379" i="3"/>
  <c r="M379" i="3" s="1"/>
  <c r="N379" i="3"/>
  <c r="F378" i="3"/>
  <c r="M378" i="3"/>
  <c r="N378" i="3"/>
  <c r="F377" i="3"/>
  <c r="M377" i="3"/>
  <c r="N377" i="3"/>
  <c r="F376" i="3"/>
  <c r="M376" i="3"/>
  <c r="N376" i="3"/>
  <c r="F375" i="3"/>
  <c r="M375" i="3" s="1"/>
  <c r="N375" i="3"/>
  <c r="F374" i="3"/>
  <c r="M374" i="3" s="1"/>
  <c r="N374" i="3"/>
  <c r="F373" i="3"/>
  <c r="M373" i="3"/>
  <c r="N373" i="3"/>
  <c r="F372" i="3"/>
  <c r="M372" i="3"/>
  <c r="N372" i="3"/>
  <c r="F371" i="3"/>
  <c r="M371" i="3" s="1"/>
  <c r="N371" i="3"/>
  <c r="F370" i="3"/>
  <c r="M370" i="3" s="1"/>
  <c r="N370" i="3"/>
  <c r="F369" i="3"/>
  <c r="M369" i="3" s="1"/>
  <c r="N369" i="3"/>
  <c r="F368" i="3"/>
  <c r="M368" i="3" s="1"/>
  <c r="N368" i="3"/>
  <c r="F367" i="3"/>
  <c r="M367" i="3" s="1"/>
  <c r="N367" i="3"/>
  <c r="F366" i="3"/>
  <c r="M366" i="3" s="1"/>
  <c r="N366" i="3"/>
  <c r="F365" i="3"/>
  <c r="M365" i="3" s="1"/>
  <c r="N365" i="3"/>
  <c r="F364" i="3"/>
  <c r="M364" i="3" s="1"/>
  <c r="N364" i="3"/>
  <c r="F363" i="3"/>
  <c r="M363" i="3" s="1"/>
  <c r="N363" i="3"/>
  <c r="F362" i="3"/>
  <c r="M362" i="3" s="1"/>
  <c r="N362" i="3"/>
  <c r="F361" i="3"/>
  <c r="M361" i="3"/>
  <c r="N361" i="3"/>
  <c r="F360" i="3"/>
  <c r="M360" i="3"/>
  <c r="N360" i="3"/>
  <c r="F359" i="3"/>
  <c r="M359" i="3" s="1"/>
  <c r="N359" i="3"/>
  <c r="F358" i="3"/>
  <c r="M358" i="3" s="1"/>
  <c r="N358" i="3"/>
  <c r="F357" i="3"/>
  <c r="M357" i="3"/>
  <c r="N357" i="3"/>
  <c r="F356" i="3"/>
  <c r="M356" i="3"/>
  <c r="N356" i="3"/>
  <c r="F355" i="3"/>
  <c r="M355" i="3" s="1"/>
  <c r="N355" i="3"/>
  <c r="F354" i="3"/>
  <c r="M354" i="3" s="1"/>
  <c r="N354" i="3"/>
  <c r="F353" i="3"/>
  <c r="M353" i="3" s="1"/>
  <c r="N353" i="3"/>
  <c r="F352" i="3"/>
  <c r="M352" i="3"/>
  <c r="N352" i="3"/>
  <c r="F351" i="3"/>
  <c r="M351" i="3" s="1"/>
  <c r="N351" i="3"/>
  <c r="F350" i="3"/>
  <c r="M350" i="3" s="1"/>
  <c r="N350" i="3"/>
  <c r="F349" i="3"/>
  <c r="M349" i="3" s="1"/>
  <c r="N349" i="3"/>
  <c r="F348" i="3"/>
  <c r="M348" i="3" s="1"/>
  <c r="N348" i="3"/>
  <c r="F347" i="3"/>
  <c r="M347" i="3" s="1"/>
  <c r="N347" i="3"/>
  <c r="F346" i="3"/>
  <c r="M346" i="3" s="1"/>
  <c r="N346" i="3"/>
  <c r="F345" i="3"/>
  <c r="M345" i="3" s="1"/>
  <c r="N345" i="3"/>
  <c r="F344" i="3"/>
  <c r="M344" i="3"/>
  <c r="N344" i="3"/>
  <c r="F343" i="3"/>
  <c r="M343" i="3" s="1"/>
  <c r="N343" i="3"/>
  <c r="F342" i="3"/>
  <c r="M342" i="3" s="1"/>
  <c r="N342" i="3"/>
  <c r="F341" i="3"/>
  <c r="M341" i="3" s="1"/>
  <c r="N341" i="3"/>
  <c r="F340" i="3"/>
  <c r="M340" i="3"/>
  <c r="N340" i="3"/>
  <c r="F339" i="3"/>
  <c r="M339" i="3" s="1"/>
  <c r="N339" i="3"/>
  <c r="F338" i="3"/>
  <c r="M338" i="3" s="1"/>
  <c r="N338" i="3"/>
  <c r="F337" i="3"/>
  <c r="M337" i="3"/>
  <c r="N337" i="3"/>
  <c r="F336" i="3"/>
  <c r="M336" i="3"/>
  <c r="N336" i="3"/>
  <c r="F335" i="3"/>
  <c r="M335" i="3" s="1"/>
  <c r="N335" i="3"/>
  <c r="F334" i="3"/>
  <c r="M334" i="3" s="1"/>
  <c r="N334" i="3"/>
  <c r="F333" i="3"/>
  <c r="M333" i="3" s="1"/>
  <c r="N333" i="3"/>
  <c r="F332" i="3"/>
  <c r="M332" i="3"/>
  <c r="N332" i="3"/>
  <c r="F331" i="3"/>
  <c r="M331" i="3" s="1"/>
  <c r="N331" i="3"/>
  <c r="F330" i="3"/>
  <c r="M330" i="3" s="1"/>
  <c r="N330" i="3"/>
  <c r="F329" i="3"/>
  <c r="M329" i="3" s="1"/>
  <c r="N329" i="3"/>
  <c r="F328" i="3"/>
  <c r="M328" i="3" s="1"/>
  <c r="N328" i="3"/>
  <c r="F327" i="3"/>
  <c r="M327" i="3" s="1"/>
  <c r="N327" i="3"/>
  <c r="F326" i="3"/>
  <c r="M326" i="3" s="1"/>
  <c r="N326" i="3"/>
  <c r="F325" i="3"/>
  <c r="M325" i="3"/>
  <c r="N325" i="3"/>
  <c r="F324" i="3"/>
  <c r="M324" i="3"/>
  <c r="N324" i="3"/>
  <c r="F323" i="3"/>
  <c r="M323" i="3" s="1"/>
  <c r="N323" i="3"/>
  <c r="F322" i="3"/>
  <c r="M322" i="3" s="1"/>
  <c r="N322" i="3"/>
  <c r="F321" i="3"/>
  <c r="M321" i="3"/>
  <c r="N321" i="3"/>
  <c r="F320" i="3"/>
  <c r="M320" i="3"/>
  <c r="N320" i="3"/>
  <c r="F319" i="3"/>
  <c r="M319" i="3" s="1"/>
  <c r="N319" i="3"/>
  <c r="F318" i="3"/>
  <c r="M318" i="3" s="1"/>
  <c r="N318" i="3"/>
  <c r="F317" i="3"/>
  <c r="M317" i="3" s="1"/>
  <c r="N317" i="3"/>
  <c r="F316" i="3"/>
  <c r="M316" i="3"/>
  <c r="N316" i="3"/>
  <c r="F315" i="3"/>
  <c r="M315" i="3" s="1"/>
  <c r="N315" i="3"/>
  <c r="F314" i="3"/>
  <c r="M314" i="3" s="1"/>
  <c r="N314" i="3"/>
  <c r="F313" i="3"/>
  <c r="M313" i="3" s="1"/>
  <c r="N313" i="3"/>
  <c r="F312" i="3"/>
  <c r="M312" i="3" s="1"/>
  <c r="N312" i="3"/>
  <c r="F311" i="3"/>
  <c r="M311" i="3" s="1"/>
  <c r="N311" i="3"/>
  <c r="F310" i="3"/>
  <c r="M310" i="3" s="1"/>
  <c r="N310" i="3"/>
  <c r="F309" i="3"/>
  <c r="M309" i="3"/>
  <c r="N309" i="3"/>
  <c r="F308" i="3"/>
  <c r="M308" i="3"/>
  <c r="N308" i="3"/>
  <c r="F307" i="3"/>
  <c r="M307" i="3" s="1"/>
  <c r="N307" i="3"/>
  <c r="F306" i="3"/>
  <c r="M306" i="3" s="1"/>
  <c r="N306" i="3"/>
  <c r="F305" i="3"/>
  <c r="M305" i="3"/>
  <c r="N305" i="3"/>
  <c r="F304" i="3"/>
  <c r="M304" i="3"/>
  <c r="N304" i="3"/>
  <c r="F303" i="3"/>
  <c r="M303" i="3" s="1"/>
  <c r="N303" i="3"/>
  <c r="F302" i="3"/>
  <c r="M302" i="3" s="1"/>
  <c r="N302" i="3"/>
  <c r="F301" i="3"/>
  <c r="M301" i="3" s="1"/>
  <c r="N301" i="3"/>
  <c r="F300" i="3"/>
  <c r="M300" i="3" s="1"/>
  <c r="N300" i="3"/>
  <c r="F299" i="3"/>
  <c r="M299" i="3" s="1"/>
  <c r="N299" i="3"/>
  <c r="F298" i="3"/>
  <c r="M298" i="3" s="1"/>
  <c r="N298" i="3"/>
  <c r="F297" i="3"/>
  <c r="M297" i="3"/>
  <c r="N297" i="3"/>
  <c r="F296" i="3"/>
  <c r="M296" i="3" s="1"/>
  <c r="N296" i="3"/>
  <c r="F295" i="3"/>
  <c r="M295" i="3" s="1"/>
  <c r="N295" i="3"/>
  <c r="F294" i="3"/>
  <c r="M294" i="3" s="1"/>
  <c r="N294" i="3"/>
  <c r="F293" i="3"/>
  <c r="M293" i="3" s="1"/>
  <c r="N293" i="3"/>
  <c r="F292" i="3"/>
  <c r="M292" i="3" s="1"/>
  <c r="N292" i="3"/>
  <c r="F291" i="3"/>
  <c r="M291" i="3" s="1"/>
  <c r="N291" i="3"/>
  <c r="F290" i="3"/>
  <c r="M290" i="3" s="1"/>
  <c r="N290" i="3"/>
  <c r="F289" i="3"/>
  <c r="M289" i="3"/>
  <c r="N289" i="3"/>
  <c r="F288" i="3"/>
  <c r="M288" i="3" s="1"/>
  <c r="N288" i="3"/>
  <c r="F287" i="3"/>
  <c r="M287" i="3" s="1"/>
  <c r="N287" i="3"/>
  <c r="F286" i="3"/>
  <c r="M286" i="3" s="1"/>
  <c r="N286" i="3"/>
  <c r="F285" i="3"/>
  <c r="M285" i="3" s="1"/>
  <c r="N285" i="3"/>
  <c r="F284" i="3"/>
  <c r="M284" i="3" s="1"/>
  <c r="N284" i="3"/>
  <c r="F283" i="3"/>
  <c r="M283" i="3" s="1"/>
  <c r="N283" i="3"/>
  <c r="F282" i="3"/>
  <c r="M282" i="3"/>
  <c r="N282" i="3"/>
  <c r="F281" i="3"/>
  <c r="M281" i="3" s="1"/>
  <c r="N281" i="3"/>
  <c r="F280" i="3"/>
  <c r="M280" i="3" s="1"/>
  <c r="N280" i="3"/>
  <c r="F279" i="3"/>
  <c r="M279" i="3" s="1"/>
  <c r="N279" i="3"/>
  <c r="F278" i="3"/>
  <c r="M278" i="3"/>
  <c r="N278" i="3"/>
  <c r="F277" i="3"/>
  <c r="M277" i="3" s="1"/>
  <c r="N277" i="3"/>
  <c r="F276" i="3"/>
  <c r="M276" i="3" s="1"/>
  <c r="N276" i="3"/>
  <c r="F275" i="3"/>
  <c r="M275" i="3" s="1"/>
  <c r="N275" i="3"/>
  <c r="F274" i="3"/>
  <c r="M274" i="3" s="1"/>
  <c r="N274" i="3"/>
  <c r="F273" i="3"/>
  <c r="M273" i="3" s="1"/>
  <c r="N273" i="3"/>
  <c r="F272" i="3"/>
  <c r="M272" i="3" s="1"/>
  <c r="N272" i="3"/>
  <c r="F271" i="3"/>
  <c r="M271" i="3" s="1"/>
  <c r="N271" i="3"/>
  <c r="F270" i="3"/>
  <c r="M270" i="3"/>
  <c r="N270" i="3"/>
  <c r="F269" i="3"/>
  <c r="M269" i="3" s="1"/>
  <c r="N269" i="3"/>
  <c r="F268" i="3"/>
  <c r="M268" i="3" s="1"/>
  <c r="N268" i="3"/>
  <c r="F267" i="3"/>
  <c r="M267" i="3" s="1"/>
  <c r="N267" i="3"/>
  <c r="F266" i="3"/>
  <c r="M266" i="3"/>
  <c r="N266" i="3"/>
  <c r="F265" i="3"/>
  <c r="M265" i="3" s="1"/>
  <c r="N265" i="3"/>
  <c r="F264" i="3"/>
  <c r="M264" i="3" s="1"/>
  <c r="N264" i="3"/>
  <c r="F263" i="3"/>
  <c r="M263" i="3" s="1"/>
  <c r="N263" i="3"/>
  <c r="F262" i="3"/>
  <c r="M262" i="3" s="1"/>
  <c r="N262" i="3"/>
  <c r="F261" i="3"/>
  <c r="M261" i="3" s="1"/>
  <c r="N261" i="3"/>
  <c r="F260" i="3"/>
  <c r="M260" i="3" s="1"/>
  <c r="N260" i="3"/>
  <c r="F259" i="3"/>
  <c r="M259" i="3" s="1"/>
  <c r="N259" i="3"/>
  <c r="F258" i="3"/>
  <c r="M258" i="3"/>
  <c r="N258" i="3"/>
  <c r="F257" i="3"/>
  <c r="M257" i="3" s="1"/>
  <c r="N257" i="3"/>
  <c r="F256" i="3"/>
  <c r="M256" i="3" s="1"/>
  <c r="N256" i="3"/>
  <c r="F255" i="3"/>
  <c r="M255" i="3" s="1"/>
  <c r="N255" i="3"/>
  <c r="F254" i="3"/>
  <c r="M254" i="3" s="1"/>
  <c r="N254" i="3"/>
  <c r="F253" i="3"/>
  <c r="M253" i="3" s="1"/>
  <c r="N253" i="3"/>
  <c r="F252" i="3"/>
  <c r="M252" i="3" s="1"/>
  <c r="N252" i="3"/>
  <c r="F251" i="3"/>
  <c r="M251" i="3" s="1"/>
  <c r="N251" i="3"/>
  <c r="F250" i="3"/>
  <c r="M250" i="3" s="1"/>
  <c r="N250" i="3"/>
  <c r="F249" i="3"/>
  <c r="M249" i="3" s="1"/>
  <c r="N249" i="3"/>
  <c r="F248" i="3"/>
  <c r="M248" i="3" s="1"/>
  <c r="N248" i="3"/>
  <c r="F247" i="3"/>
  <c r="M247" i="3" s="1"/>
  <c r="N247" i="3"/>
  <c r="F246" i="3"/>
  <c r="M246" i="3"/>
  <c r="N246" i="3"/>
  <c r="F245" i="3"/>
  <c r="M245" i="3" s="1"/>
  <c r="N245" i="3"/>
  <c r="F244" i="3"/>
  <c r="M244" i="3" s="1"/>
  <c r="N244" i="3"/>
  <c r="F243" i="3"/>
  <c r="M243" i="3" s="1"/>
  <c r="N243" i="3"/>
  <c r="F242" i="3"/>
  <c r="M242" i="3" s="1"/>
  <c r="N242" i="3"/>
  <c r="F241" i="3"/>
  <c r="M241" i="3" s="1"/>
  <c r="N241" i="3"/>
  <c r="F240" i="3"/>
  <c r="M240" i="3" s="1"/>
  <c r="N240" i="3"/>
  <c r="F239" i="3"/>
  <c r="M239" i="3" s="1"/>
  <c r="N239" i="3"/>
  <c r="F238" i="3"/>
  <c r="M238" i="3"/>
  <c r="N238" i="3"/>
  <c r="F237" i="3"/>
  <c r="M237" i="3" s="1"/>
  <c r="N237" i="3"/>
  <c r="F236" i="3"/>
  <c r="M236" i="3" s="1"/>
  <c r="N236" i="3"/>
  <c r="F235" i="3"/>
  <c r="M235" i="3" s="1"/>
  <c r="N235" i="3"/>
  <c r="F234" i="3"/>
  <c r="M234" i="3"/>
  <c r="N234" i="3"/>
  <c r="F233" i="3"/>
  <c r="M233" i="3" s="1"/>
  <c r="N233" i="3"/>
  <c r="F232" i="3"/>
  <c r="M232" i="3" s="1"/>
  <c r="N232" i="3"/>
  <c r="F231" i="3"/>
  <c r="M231" i="3" s="1"/>
  <c r="N231" i="3"/>
  <c r="F230" i="3"/>
  <c r="M230" i="3" s="1"/>
  <c r="N230" i="3"/>
  <c r="F229" i="3"/>
  <c r="M229" i="3" s="1"/>
  <c r="N229" i="3"/>
  <c r="F228" i="3"/>
  <c r="M228" i="3" s="1"/>
  <c r="N228" i="3"/>
  <c r="F227" i="3"/>
  <c r="M227" i="3" s="1"/>
  <c r="N227" i="3"/>
  <c r="F226" i="3"/>
  <c r="M226" i="3"/>
  <c r="N226" i="3"/>
  <c r="F225" i="3"/>
  <c r="M225" i="3" s="1"/>
  <c r="N225" i="3"/>
  <c r="F224" i="3"/>
  <c r="M224" i="3" s="1"/>
  <c r="N224" i="3"/>
  <c r="F223" i="3"/>
  <c r="M223" i="3" s="1"/>
  <c r="N223" i="3"/>
  <c r="F222" i="3"/>
  <c r="M222" i="3" s="1"/>
  <c r="N222" i="3"/>
  <c r="F221" i="3"/>
  <c r="M221" i="3" s="1"/>
  <c r="N221" i="3"/>
  <c r="F220" i="3"/>
  <c r="M220" i="3" s="1"/>
  <c r="N220" i="3"/>
  <c r="F219" i="3"/>
  <c r="M219" i="3" s="1"/>
  <c r="N219" i="3"/>
  <c r="F218" i="3"/>
  <c r="M218" i="3" s="1"/>
  <c r="N218" i="3"/>
  <c r="F217" i="3"/>
  <c r="M217" i="3" s="1"/>
  <c r="N217" i="3"/>
  <c r="F216" i="3"/>
  <c r="M216" i="3" s="1"/>
  <c r="N216" i="3"/>
  <c r="F215" i="3"/>
  <c r="M215" i="3" s="1"/>
  <c r="N215" i="3"/>
  <c r="F214" i="3"/>
  <c r="M214" i="3"/>
  <c r="N214" i="3"/>
  <c r="F213" i="3"/>
  <c r="M213" i="3" s="1"/>
  <c r="N213" i="3"/>
  <c r="F212" i="3"/>
  <c r="M212" i="3" s="1"/>
  <c r="N212" i="3"/>
  <c r="F211" i="3"/>
  <c r="M211" i="3" s="1"/>
  <c r="N211" i="3"/>
  <c r="F210" i="3"/>
  <c r="M210" i="3" s="1"/>
  <c r="N210" i="3"/>
  <c r="F209" i="3"/>
  <c r="M209" i="3" s="1"/>
  <c r="N209" i="3"/>
  <c r="F208" i="3"/>
  <c r="M208" i="3" s="1"/>
  <c r="N208" i="3"/>
  <c r="F207" i="3"/>
  <c r="M207" i="3" s="1"/>
  <c r="N207" i="3"/>
  <c r="F206" i="3"/>
  <c r="M206" i="3"/>
  <c r="N206" i="3"/>
  <c r="F205" i="3"/>
  <c r="M205" i="3" s="1"/>
  <c r="N205" i="3"/>
  <c r="F204" i="3"/>
  <c r="M204" i="3" s="1"/>
  <c r="N204" i="3"/>
  <c r="F203" i="3"/>
  <c r="M203" i="3" s="1"/>
  <c r="N203" i="3"/>
  <c r="F202" i="3"/>
  <c r="M202" i="3"/>
  <c r="N202" i="3"/>
  <c r="F201" i="3"/>
  <c r="M201" i="3" s="1"/>
  <c r="N201" i="3"/>
  <c r="F200" i="3"/>
  <c r="M200" i="3" s="1"/>
  <c r="N200" i="3"/>
  <c r="F199" i="3"/>
  <c r="M199" i="3" s="1"/>
  <c r="N199" i="3"/>
  <c r="F198" i="3"/>
  <c r="M198" i="3" s="1"/>
  <c r="N198" i="3"/>
  <c r="F197" i="3"/>
  <c r="M197" i="3" s="1"/>
  <c r="N197" i="3"/>
  <c r="F196" i="3"/>
  <c r="M196" i="3" s="1"/>
  <c r="N196" i="3"/>
  <c r="F195" i="3"/>
  <c r="M195" i="3" s="1"/>
  <c r="N195" i="3"/>
  <c r="F194" i="3"/>
  <c r="M194" i="3"/>
  <c r="N194" i="3"/>
  <c r="F193" i="3"/>
  <c r="M193" i="3" s="1"/>
  <c r="N193" i="3"/>
  <c r="F192" i="3"/>
  <c r="M192" i="3"/>
  <c r="N192" i="3"/>
  <c r="F191" i="3"/>
  <c r="M191" i="3"/>
  <c r="N191" i="3"/>
  <c r="F190" i="3"/>
  <c r="M190" i="3"/>
  <c r="N190" i="3"/>
  <c r="F189" i="3"/>
  <c r="M189" i="3" s="1"/>
  <c r="N189" i="3"/>
  <c r="F188" i="3"/>
  <c r="M188" i="3"/>
  <c r="N188" i="3"/>
  <c r="F187" i="3"/>
  <c r="M187" i="3"/>
  <c r="N187" i="3"/>
  <c r="F186" i="3"/>
  <c r="M186" i="3"/>
  <c r="N186" i="3"/>
  <c r="F185" i="3"/>
  <c r="M185" i="3" s="1"/>
  <c r="N185" i="3"/>
  <c r="F184" i="3"/>
  <c r="M184" i="3"/>
  <c r="N184" i="3"/>
  <c r="F183" i="3"/>
  <c r="M183" i="3"/>
  <c r="N183" i="3"/>
  <c r="F182" i="3"/>
  <c r="M182" i="3" s="1"/>
  <c r="N182" i="3"/>
  <c r="F181" i="3"/>
  <c r="M181" i="3" s="1"/>
  <c r="N181" i="3"/>
  <c r="F180" i="3"/>
  <c r="M180" i="3"/>
  <c r="N180" i="3"/>
  <c r="F179" i="3"/>
  <c r="M179" i="3" s="1"/>
  <c r="N179" i="3"/>
  <c r="F178" i="3"/>
  <c r="M178" i="3" s="1"/>
  <c r="N178" i="3"/>
  <c r="F177" i="3"/>
  <c r="M177" i="3" s="1"/>
  <c r="N177" i="3"/>
  <c r="F176" i="3"/>
  <c r="M176" i="3" s="1"/>
  <c r="N176" i="3"/>
  <c r="F175" i="3"/>
  <c r="M175" i="3"/>
  <c r="N175" i="3"/>
  <c r="F174" i="3"/>
  <c r="M174" i="3"/>
  <c r="N174" i="3"/>
  <c r="F173" i="3"/>
  <c r="M173" i="3" s="1"/>
  <c r="N173" i="3"/>
  <c r="F172" i="3"/>
  <c r="M172" i="3" s="1"/>
  <c r="N172" i="3"/>
  <c r="F171" i="3"/>
  <c r="M171" i="3"/>
  <c r="N171" i="3"/>
  <c r="F170" i="3"/>
  <c r="M170" i="3"/>
  <c r="N170" i="3"/>
  <c r="F169" i="3"/>
  <c r="M169" i="3" s="1"/>
  <c r="N169" i="3"/>
  <c r="F168" i="3"/>
  <c r="M168" i="3" s="1"/>
  <c r="N168" i="3"/>
  <c r="F167" i="3"/>
  <c r="M167" i="3" s="1"/>
  <c r="N167" i="3"/>
  <c r="F166" i="3"/>
  <c r="M166" i="3"/>
  <c r="N166" i="3"/>
  <c r="F165" i="3"/>
  <c r="M165" i="3" s="1"/>
  <c r="N165" i="3"/>
  <c r="F164" i="3"/>
  <c r="M164" i="3" s="1"/>
  <c r="N164" i="3"/>
  <c r="F163" i="3"/>
  <c r="M163" i="3" s="1"/>
  <c r="N163" i="3"/>
  <c r="F162" i="3"/>
  <c r="M162" i="3" s="1"/>
  <c r="N162" i="3"/>
  <c r="F161" i="3"/>
  <c r="M161" i="3" s="1"/>
  <c r="N161" i="3"/>
  <c r="F160" i="3"/>
  <c r="N160" i="3"/>
  <c r="F159" i="3"/>
  <c r="M159" i="3"/>
  <c r="N159" i="3"/>
  <c r="F158" i="3"/>
  <c r="M158" i="3"/>
  <c r="N158" i="3"/>
  <c r="F157" i="3"/>
  <c r="M157" i="3" s="1"/>
  <c r="N157" i="3"/>
  <c r="F156" i="3"/>
  <c r="M156" i="3" s="1"/>
  <c r="N156" i="3"/>
  <c r="F155" i="3"/>
  <c r="M155" i="3"/>
  <c r="N155" i="3"/>
  <c r="F154" i="3"/>
  <c r="M154" i="3"/>
  <c r="N154" i="3"/>
  <c r="F153" i="3"/>
  <c r="M153" i="3" s="1"/>
  <c r="N153" i="3"/>
  <c r="F152" i="3"/>
  <c r="M152" i="3" s="1"/>
  <c r="N152" i="3"/>
  <c r="F151" i="3"/>
  <c r="M151" i="3" s="1"/>
  <c r="N151" i="3"/>
  <c r="F150" i="3"/>
  <c r="M150" i="3"/>
  <c r="N150" i="3"/>
  <c r="F149" i="3"/>
  <c r="M149" i="3" s="1"/>
  <c r="N149" i="3"/>
  <c r="F148" i="3"/>
  <c r="M148" i="3" s="1"/>
  <c r="N148" i="3"/>
  <c r="F147" i="3"/>
  <c r="M147" i="3" s="1"/>
  <c r="N147" i="3"/>
  <c r="F146" i="3"/>
  <c r="M146" i="3" s="1"/>
  <c r="N146" i="3"/>
  <c r="F145" i="3"/>
  <c r="M145" i="3" s="1"/>
  <c r="N145" i="3"/>
  <c r="F144" i="3"/>
  <c r="M144" i="3" s="1"/>
  <c r="N144" i="3"/>
  <c r="F143" i="3"/>
  <c r="M143" i="3"/>
  <c r="N143" i="3"/>
  <c r="F142" i="3"/>
  <c r="M142" i="3"/>
  <c r="N142" i="3"/>
  <c r="F141" i="3"/>
  <c r="M141" i="3" s="1"/>
  <c r="N141" i="3"/>
  <c r="F140" i="3"/>
  <c r="M140" i="3" s="1"/>
  <c r="N140" i="3"/>
  <c r="F139" i="3"/>
  <c r="M139" i="3"/>
  <c r="N139" i="3"/>
  <c r="F138" i="3"/>
  <c r="M138" i="3"/>
  <c r="N138" i="3"/>
  <c r="F137" i="3"/>
  <c r="M137" i="3" s="1"/>
  <c r="N137" i="3"/>
  <c r="F136" i="3"/>
  <c r="M136" i="3" s="1"/>
  <c r="N136" i="3"/>
  <c r="F135" i="3"/>
  <c r="M135" i="3" s="1"/>
  <c r="N135" i="3"/>
  <c r="F134" i="3"/>
  <c r="M134" i="3"/>
  <c r="N134" i="3"/>
  <c r="F133" i="3"/>
  <c r="M133" i="3" s="1"/>
  <c r="N133" i="3"/>
  <c r="F132" i="3"/>
  <c r="M132" i="3" s="1"/>
  <c r="N132" i="3"/>
  <c r="F131" i="3"/>
  <c r="M131" i="3" s="1"/>
  <c r="N131" i="3"/>
  <c r="F130" i="3"/>
  <c r="N130" i="3"/>
  <c r="F129" i="3"/>
  <c r="M129" i="3" s="1"/>
  <c r="N129" i="3"/>
  <c r="F128" i="3"/>
  <c r="M128" i="3" s="1"/>
  <c r="N128" i="3"/>
  <c r="F127" i="3"/>
  <c r="M127" i="3"/>
  <c r="N127" i="3"/>
  <c r="F126" i="3"/>
  <c r="M126" i="3"/>
  <c r="N126" i="3"/>
  <c r="F125" i="3"/>
  <c r="M125" i="3" s="1"/>
  <c r="N125" i="3"/>
  <c r="F124" i="3"/>
  <c r="M124" i="3" s="1"/>
  <c r="N124" i="3"/>
  <c r="F123" i="3"/>
  <c r="M123" i="3"/>
  <c r="N123" i="3"/>
  <c r="F122" i="3"/>
  <c r="M122" i="3"/>
  <c r="N122" i="3"/>
  <c r="F121" i="3"/>
  <c r="M121" i="3" s="1"/>
  <c r="N121" i="3"/>
  <c r="F120" i="3"/>
  <c r="M120" i="3" s="1"/>
  <c r="N120" i="3"/>
  <c r="F119" i="3"/>
  <c r="M119" i="3" s="1"/>
  <c r="N119" i="3"/>
  <c r="F118" i="3"/>
  <c r="M118" i="3"/>
  <c r="N118" i="3"/>
  <c r="F117" i="3"/>
  <c r="M117" i="3" s="1"/>
  <c r="N117" i="3"/>
  <c r="F116" i="3"/>
  <c r="N116" i="3"/>
  <c r="F115" i="3"/>
  <c r="M115" i="3" s="1"/>
  <c r="N115" i="3"/>
  <c r="F114" i="3"/>
  <c r="M114" i="3"/>
  <c r="N114" i="3"/>
  <c r="F113" i="3"/>
  <c r="M113" i="3" s="1"/>
  <c r="N113" i="3"/>
  <c r="F112" i="3"/>
  <c r="M112" i="3"/>
  <c r="N112" i="3"/>
  <c r="F111" i="3"/>
  <c r="M111" i="3" s="1"/>
  <c r="N111" i="3"/>
  <c r="F110" i="3"/>
  <c r="M110" i="3"/>
  <c r="N110" i="3"/>
  <c r="F109" i="3"/>
  <c r="M109" i="3" s="1"/>
  <c r="N109" i="3"/>
  <c r="F108" i="3"/>
  <c r="M108" i="3" s="1"/>
  <c r="N108" i="3"/>
  <c r="F107" i="3"/>
  <c r="M107" i="3" s="1"/>
  <c r="N107" i="3"/>
  <c r="F106" i="3"/>
  <c r="M106" i="3"/>
  <c r="N106" i="3"/>
  <c r="F105" i="3"/>
  <c r="M105" i="3" s="1"/>
  <c r="N105" i="3"/>
  <c r="F104" i="3"/>
  <c r="M104" i="3" s="1"/>
  <c r="N104" i="3"/>
  <c r="F103" i="3"/>
  <c r="M103" i="3" s="1"/>
  <c r="N103" i="3"/>
  <c r="F102" i="3"/>
  <c r="N102" i="3"/>
  <c r="F101" i="3"/>
  <c r="M101" i="3" s="1"/>
  <c r="N101" i="3"/>
  <c r="F100" i="3"/>
  <c r="M100" i="3" s="1"/>
  <c r="N100" i="3"/>
  <c r="F99" i="3"/>
  <c r="M99" i="3" s="1"/>
  <c r="N99" i="3"/>
  <c r="F98" i="3"/>
  <c r="M98" i="3"/>
  <c r="N98" i="3"/>
  <c r="F97" i="3"/>
  <c r="M97" i="3" s="1"/>
  <c r="N97" i="3"/>
  <c r="F96" i="3"/>
  <c r="M96" i="3"/>
  <c r="N96" i="3"/>
  <c r="F95" i="3"/>
  <c r="M95" i="3" s="1"/>
  <c r="N95" i="3"/>
  <c r="F94" i="3"/>
  <c r="M94" i="3"/>
  <c r="N94" i="3"/>
  <c r="F93" i="3"/>
  <c r="M93" i="3" s="1"/>
  <c r="N93" i="3"/>
  <c r="F92" i="3"/>
  <c r="N92" i="3"/>
  <c r="F91" i="3"/>
  <c r="M91" i="3" s="1"/>
  <c r="N91" i="3"/>
  <c r="F90" i="3"/>
  <c r="M90" i="3" s="1"/>
  <c r="N90" i="3"/>
  <c r="F89" i="3"/>
  <c r="M89" i="3" s="1"/>
  <c r="N89" i="3"/>
  <c r="F88" i="3"/>
  <c r="N88" i="3"/>
  <c r="F87" i="3"/>
  <c r="M87" i="3" s="1"/>
  <c r="N87" i="3"/>
  <c r="F86" i="3"/>
  <c r="M86" i="3"/>
  <c r="N86" i="3"/>
  <c r="F85" i="3"/>
  <c r="M85" i="3" s="1"/>
  <c r="N85" i="3"/>
  <c r="F84" i="3"/>
  <c r="M84" i="3" s="1"/>
  <c r="N84" i="3"/>
  <c r="F83" i="3"/>
  <c r="M83" i="3" s="1"/>
  <c r="N83" i="3"/>
  <c r="F82" i="3"/>
  <c r="M82" i="3"/>
  <c r="N82" i="3"/>
  <c r="F81" i="3"/>
  <c r="M81" i="3" s="1"/>
  <c r="N81" i="3"/>
  <c r="F80" i="3"/>
  <c r="M80" i="3" s="1"/>
  <c r="N80" i="3"/>
  <c r="F79" i="3"/>
  <c r="M79" i="3" s="1"/>
  <c r="N79" i="3"/>
  <c r="F78" i="3"/>
  <c r="M78" i="3" s="1"/>
  <c r="N78" i="3"/>
  <c r="F77" i="3"/>
  <c r="M77" i="3" s="1"/>
  <c r="N77" i="3"/>
  <c r="F76" i="3"/>
  <c r="N76" i="3"/>
  <c r="F75" i="3"/>
  <c r="M75" i="3" s="1"/>
  <c r="N75" i="3"/>
  <c r="F74" i="3"/>
  <c r="M74" i="3"/>
  <c r="N74" i="3"/>
  <c r="F73" i="3"/>
  <c r="M73" i="3" s="1"/>
  <c r="N73" i="3"/>
  <c r="F72" i="3"/>
  <c r="M72" i="3"/>
  <c r="N72" i="3"/>
  <c r="F71" i="3"/>
  <c r="M71" i="3" s="1"/>
  <c r="N71" i="3"/>
  <c r="F70" i="3"/>
  <c r="M70" i="3"/>
  <c r="N70" i="3"/>
  <c r="F69" i="3"/>
  <c r="M69" i="3" s="1"/>
  <c r="N69" i="3"/>
  <c r="F68" i="3"/>
  <c r="M68" i="3" s="1"/>
  <c r="N68" i="3"/>
  <c r="F67" i="3"/>
  <c r="M67" i="3" s="1"/>
  <c r="N67" i="3"/>
  <c r="F66" i="3"/>
  <c r="N66" i="3"/>
  <c r="F65" i="3"/>
  <c r="M65" i="3" s="1"/>
  <c r="N65" i="3"/>
  <c r="F64" i="3"/>
  <c r="M64" i="3" s="1"/>
  <c r="N64" i="3"/>
  <c r="F63" i="3"/>
  <c r="M63" i="3" s="1"/>
  <c r="N63" i="3"/>
  <c r="F62" i="3"/>
  <c r="M62" i="3"/>
  <c r="N62" i="3"/>
  <c r="F61" i="3"/>
  <c r="M61" i="3" s="1"/>
  <c r="N61" i="3"/>
  <c r="F60" i="3"/>
  <c r="M60" i="3"/>
  <c r="N60" i="3"/>
  <c r="F59" i="3"/>
  <c r="M59" i="3" s="1"/>
  <c r="N59" i="3"/>
  <c r="F58" i="3"/>
  <c r="M58" i="3"/>
  <c r="N58" i="3"/>
  <c r="F57" i="3"/>
  <c r="M57" i="3" s="1"/>
  <c r="N57" i="3"/>
  <c r="F56" i="3"/>
  <c r="M56" i="3" s="1"/>
  <c r="N56" i="3"/>
  <c r="F55" i="3"/>
  <c r="M55" i="3" s="1"/>
  <c r="N55" i="3"/>
  <c r="F54" i="3"/>
  <c r="M54" i="3" s="1"/>
  <c r="N54" i="3"/>
  <c r="F53" i="3"/>
  <c r="M53" i="3" s="1"/>
  <c r="N53" i="3"/>
  <c r="F52" i="3"/>
  <c r="M52" i="3" s="1"/>
  <c r="N52" i="3"/>
  <c r="F51" i="3"/>
  <c r="M51" i="3" s="1"/>
  <c r="N51" i="3"/>
  <c r="F50" i="3"/>
  <c r="M50" i="3" s="1"/>
  <c r="N50" i="3"/>
  <c r="F49" i="3"/>
  <c r="M49" i="3" s="1"/>
  <c r="N49" i="3"/>
  <c r="F48" i="3"/>
  <c r="N48" i="3"/>
  <c r="F47" i="3"/>
  <c r="M47" i="3" s="1"/>
  <c r="N47" i="3"/>
  <c r="F46" i="3"/>
  <c r="M46" i="3" s="1"/>
  <c r="N46" i="3"/>
  <c r="F45" i="3"/>
  <c r="M45" i="3" s="1"/>
  <c r="N45" i="3"/>
  <c r="F44" i="3"/>
  <c r="M44" i="3" s="1"/>
  <c r="N44" i="3"/>
  <c r="F43" i="3"/>
  <c r="M43" i="3" s="1"/>
  <c r="N43" i="3"/>
  <c r="F42" i="3"/>
  <c r="M42" i="3" s="1"/>
  <c r="N42" i="3"/>
  <c r="F41" i="3"/>
  <c r="M41" i="3" s="1"/>
  <c r="N41" i="3"/>
  <c r="F40" i="3"/>
  <c r="M40" i="3" s="1"/>
  <c r="N40" i="3"/>
  <c r="F39" i="3"/>
  <c r="M39" i="3" s="1"/>
  <c r="N39" i="3"/>
  <c r="N38" i="3"/>
  <c r="N36" i="3"/>
  <c r="N34" i="3"/>
  <c r="N33" i="3"/>
  <c r="N26" i="3"/>
  <c r="N25" i="3"/>
  <c r="N20" i="3"/>
  <c r="N13" i="3"/>
  <c r="G9" i="12"/>
  <c r="B9" i="12"/>
  <c r="G10" i="12"/>
  <c r="B10" i="12"/>
  <c r="B11" i="12"/>
  <c r="G11" i="12"/>
  <c r="B12" i="12"/>
  <c r="G12" i="12"/>
  <c r="B13" i="12"/>
  <c r="B14" i="12"/>
  <c r="B15" i="12"/>
  <c r="B16" i="12"/>
  <c r="M16" i="12" s="1"/>
  <c r="G8" i="12"/>
  <c r="B8" i="12"/>
  <c r="J20" i="3"/>
  <c r="J25" i="3"/>
  <c r="J26" i="3"/>
  <c r="J33" i="3"/>
  <c r="J34" i="3"/>
  <c r="I39" i="3"/>
  <c r="J39" i="3"/>
  <c r="K39" i="3"/>
  <c r="L39" i="3"/>
  <c r="I40" i="3"/>
  <c r="J40" i="3"/>
  <c r="K40" i="3"/>
  <c r="L40" i="3"/>
  <c r="I41" i="3"/>
  <c r="J41" i="3"/>
  <c r="K41" i="3"/>
  <c r="L41" i="3"/>
  <c r="I42" i="3"/>
  <c r="J42" i="3"/>
  <c r="K42" i="3"/>
  <c r="L42" i="3"/>
  <c r="I43" i="3"/>
  <c r="J43" i="3"/>
  <c r="K43" i="3"/>
  <c r="L43" i="3"/>
  <c r="I44" i="3"/>
  <c r="J44" i="3"/>
  <c r="K44" i="3"/>
  <c r="L44" i="3"/>
  <c r="I45" i="3"/>
  <c r="J45" i="3"/>
  <c r="K45" i="3"/>
  <c r="L45" i="3"/>
  <c r="I46" i="3"/>
  <c r="J46" i="3"/>
  <c r="K46" i="3"/>
  <c r="L46" i="3"/>
  <c r="I47" i="3"/>
  <c r="J47" i="3"/>
  <c r="K47" i="3"/>
  <c r="L47" i="3"/>
  <c r="I48" i="3"/>
  <c r="J48" i="3"/>
  <c r="K48" i="3"/>
  <c r="L48" i="3"/>
  <c r="I49" i="3"/>
  <c r="J49" i="3"/>
  <c r="K49" i="3"/>
  <c r="L49" i="3"/>
  <c r="I50" i="3"/>
  <c r="J50" i="3"/>
  <c r="K50" i="3"/>
  <c r="L50" i="3"/>
  <c r="I51" i="3"/>
  <c r="J51" i="3"/>
  <c r="K51" i="3"/>
  <c r="L51" i="3"/>
  <c r="I52" i="3"/>
  <c r="J52" i="3"/>
  <c r="K52" i="3"/>
  <c r="L52" i="3"/>
  <c r="I53" i="3"/>
  <c r="J53" i="3"/>
  <c r="K53" i="3"/>
  <c r="L53" i="3"/>
  <c r="I54" i="3"/>
  <c r="J54" i="3"/>
  <c r="K54" i="3"/>
  <c r="L54" i="3"/>
  <c r="I55" i="3"/>
  <c r="J55" i="3"/>
  <c r="K55" i="3"/>
  <c r="L55" i="3"/>
  <c r="I56" i="3"/>
  <c r="J56" i="3"/>
  <c r="K56" i="3"/>
  <c r="L56" i="3"/>
  <c r="I57" i="3"/>
  <c r="J57" i="3"/>
  <c r="K57" i="3"/>
  <c r="L57" i="3"/>
  <c r="I58" i="3"/>
  <c r="J58" i="3"/>
  <c r="K58" i="3"/>
  <c r="L58" i="3"/>
  <c r="I59" i="3"/>
  <c r="J59" i="3"/>
  <c r="K59" i="3"/>
  <c r="L59" i="3"/>
  <c r="I60" i="3"/>
  <c r="J60" i="3"/>
  <c r="K60" i="3"/>
  <c r="L60" i="3"/>
  <c r="I61" i="3"/>
  <c r="J61" i="3"/>
  <c r="K61" i="3"/>
  <c r="L61" i="3"/>
  <c r="I62" i="3"/>
  <c r="J62" i="3"/>
  <c r="K62" i="3"/>
  <c r="L62" i="3"/>
  <c r="I63" i="3"/>
  <c r="J63" i="3"/>
  <c r="K63" i="3"/>
  <c r="L63" i="3"/>
  <c r="I64" i="3"/>
  <c r="J64" i="3"/>
  <c r="K64" i="3"/>
  <c r="L64" i="3"/>
  <c r="I65" i="3"/>
  <c r="J65" i="3"/>
  <c r="K65" i="3"/>
  <c r="L65" i="3"/>
  <c r="I66" i="3"/>
  <c r="J66" i="3"/>
  <c r="K66" i="3"/>
  <c r="L66" i="3"/>
  <c r="I67" i="3"/>
  <c r="J67" i="3"/>
  <c r="K67" i="3"/>
  <c r="L67" i="3"/>
  <c r="I68" i="3"/>
  <c r="J68" i="3"/>
  <c r="K68" i="3"/>
  <c r="L68" i="3"/>
  <c r="I69" i="3"/>
  <c r="J69" i="3"/>
  <c r="K69" i="3"/>
  <c r="L69" i="3"/>
  <c r="I70" i="3"/>
  <c r="J70" i="3"/>
  <c r="K70" i="3"/>
  <c r="L70" i="3"/>
  <c r="I71" i="3"/>
  <c r="J71" i="3"/>
  <c r="K71" i="3"/>
  <c r="L71" i="3"/>
  <c r="I72" i="3"/>
  <c r="J72" i="3"/>
  <c r="K72" i="3"/>
  <c r="L72" i="3"/>
  <c r="I73" i="3"/>
  <c r="J73" i="3"/>
  <c r="K73" i="3"/>
  <c r="L73" i="3"/>
  <c r="I74" i="3"/>
  <c r="J74" i="3"/>
  <c r="K74" i="3"/>
  <c r="L74" i="3"/>
  <c r="I75" i="3"/>
  <c r="J75" i="3"/>
  <c r="K75" i="3"/>
  <c r="L75" i="3"/>
  <c r="I76" i="3"/>
  <c r="J76" i="3"/>
  <c r="K76" i="3"/>
  <c r="L76" i="3"/>
  <c r="I77" i="3"/>
  <c r="J77" i="3"/>
  <c r="K77" i="3"/>
  <c r="L77" i="3"/>
  <c r="I78" i="3"/>
  <c r="J78" i="3"/>
  <c r="K78" i="3"/>
  <c r="L78" i="3"/>
  <c r="I79" i="3"/>
  <c r="J79" i="3"/>
  <c r="K79" i="3"/>
  <c r="L79" i="3"/>
  <c r="I80" i="3"/>
  <c r="J80" i="3"/>
  <c r="K80" i="3"/>
  <c r="L80" i="3"/>
  <c r="I81" i="3"/>
  <c r="J81" i="3"/>
  <c r="K81" i="3"/>
  <c r="L81" i="3"/>
  <c r="I82" i="3"/>
  <c r="J82" i="3"/>
  <c r="K82" i="3"/>
  <c r="L82" i="3"/>
  <c r="I83" i="3"/>
  <c r="J83" i="3"/>
  <c r="K83" i="3"/>
  <c r="L83" i="3"/>
  <c r="I84" i="3"/>
  <c r="J84" i="3"/>
  <c r="K84" i="3"/>
  <c r="L84" i="3"/>
  <c r="I85" i="3"/>
  <c r="J85" i="3"/>
  <c r="K85" i="3"/>
  <c r="L85" i="3"/>
  <c r="I86" i="3"/>
  <c r="J86" i="3"/>
  <c r="K86" i="3"/>
  <c r="L86" i="3"/>
  <c r="I87" i="3"/>
  <c r="J87" i="3"/>
  <c r="K87" i="3"/>
  <c r="L87" i="3"/>
  <c r="I88" i="3"/>
  <c r="J88" i="3"/>
  <c r="K88" i="3"/>
  <c r="L88" i="3"/>
  <c r="I89" i="3"/>
  <c r="J89" i="3"/>
  <c r="K89" i="3"/>
  <c r="L89" i="3"/>
  <c r="I90" i="3"/>
  <c r="J90" i="3"/>
  <c r="K90" i="3"/>
  <c r="L90" i="3"/>
  <c r="I91" i="3"/>
  <c r="J91" i="3"/>
  <c r="K91" i="3"/>
  <c r="L91" i="3"/>
  <c r="I92" i="3"/>
  <c r="J92" i="3"/>
  <c r="K92" i="3"/>
  <c r="L92" i="3"/>
  <c r="I93" i="3"/>
  <c r="J93" i="3"/>
  <c r="K93" i="3"/>
  <c r="L93" i="3"/>
  <c r="I94" i="3"/>
  <c r="J94" i="3"/>
  <c r="K94" i="3"/>
  <c r="L94" i="3"/>
  <c r="I95" i="3"/>
  <c r="J95" i="3"/>
  <c r="K95" i="3"/>
  <c r="L95" i="3"/>
  <c r="I96" i="3"/>
  <c r="J96" i="3"/>
  <c r="K96" i="3"/>
  <c r="L96" i="3"/>
  <c r="I97" i="3"/>
  <c r="J97" i="3"/>
  <c r="K97" i="3"/>
  <c r="L97" i="3"/>
  <c r="I98" i="3"/>
  <c r="J98" i="3"/>
  <c r="K98" i="3"/>
  <c r="L98" i="3"/>
  <c r="I99" i="3"/>
  <c r="J99" i="3"/>
  <c r="K99" i="3"/>
  <c r="L99" i="3"/>
  <c r="I100" i="3"/>
  <c r="J100" i="3"/>
  <c r="K100" i="3"/>
  <c r="L100" i="3"/>
  <c r="I101" i="3"/>
  <c r="J101" i="3"/>
  <c r="K101" i="3"/>
  <c r="L101" i="3"/>
  <c r="I102" i="3"/>
  <c r="J102" i="3"/>
  <c r="K102" i="3"/>
  <c r="L102" i="3"/>
  <c r="I103" i="3"/>
  <c r="J103" i="3"/>
  <c r="K103" i="3"/>
  <c r="L103" i="3"/>
  <c r="I104" i="3"/>
  <c r="J104" i="3"/>
  <c r="K104" i="3"/>
  <c r="L104" i="3"/>
  <c r="I105" i="3"/>
  <c r="J105" i="3"/>
  <c r="K105" i="3"/>
  <c r="L105" i="3"/>
  <c r="I106" i="3"/>
  <c r="J106" i="3"/>
  <c r="K106" i="3"/>
  <c r="L106" i="3"/>
  <c r="I107" i="3"/>
  <c r="J107" i="3"/>
  <c r="K107" i="3"/>
  <c r="L107" i="3"/>
  <c r="I108" i="3"/>
  <c r="J108" i="3"/>
  <c r="K108" i="3"/>
  <c r="L108" i="3"/>
  <c r="I109" i="3"/>
  <c r="J109" i="3"/>
  <c r="K109" i="3"/>
  <c r="L109" i="3"/>
  <c r="I110" i="3"/>
  <c r="J110" i="3"/>
  <c r="K110" i="3"/>
  <c r="L110" i="3"/>
  <c r="I111" i="3"/>
  <c r="J111" i="3"/>
  <c r="K111" i="3"/>
  <c r="L111" i="3"/>
  <c r="I112" i="3"/>
  <c r="O112" i="3" s="1"/>
  <c r="J112" i="3"/>
  <c r="K112" i="3"/>
  <c r="L112" i="3"/>
  <c r="I113" i="3"/>
  <c r="J113" i="3"/>
  <c r="K113" i="3"/>
  <c r="L113" i="3"/>
  <c r="I114" i="3"/>
  <c r="O114" i="3" s="1"/>
  <c r="J114" i="3"/>
  <c r="K114" i="3"/>
  <c r="L114" i="3"/>
  <c r="I115" i="3"/>
  <c r="J115" i="3"/>
  <c r="K115" i="3"/>
  <c r="L115" i="3"/>
  <c r="I116" i="3"/>
  <c r="J116" i="3"/>
  <c r="K116" i="3"/>
  <c r="L116" i="3"/>
  <c r="I117" i="3"/>
  <c r="J117" i="3"/>
  <c r="K117" i="3"/>
  <c r="L117" i="3"/>
  <c r="I118" i="3"/>
  <c r="O118" i="3" s="1"/>
  <c r="J118" i="3"/>
  <c r="K118" i="3"/>
  <c r="L118" i="3"/>
  <c r="I119" i="3"/>
  <c r="J119" i="3"/>
  <c r="K119" i="3"/>
  <c r="L119" i="3"/>
  <c r="I120" i="3"/>
  <c r="O120" i="3" s="1"/>
  <c r="J120" i="3"/>
  <c r="K120" i="3"/>
  <c r="L120" i="3"/>
  <c r="I121" i="3"/>
  <c r="J121" i="3"/>
  <c r="K121" i="3"/>
  <c r="L121" i="3"/>
  <c r="I122" i="3"/>
  <c r="O122" i="3" s="1"/>
  <c r="J122" i="3"/>
  <c r="K122" i="3"/>
  <c r="L122" i="3"/>
  <c r="I123" i="3"/>
  <c r="J123" i="3"/>
  <c r="K123" i="3"/>
  <c r="L123" i="3"/>
  <c r="I124" i="3"/>
  <c r="O124" i="3" s="1"/>
  <c r="J124" i="3"/>
  <c r="K124" i="3"/>
  <c r="L124" i="3"/>
  <c r="I125" i="3"/>
  <c r="J125" i="3"/>
  <c r="K125" i="3"/>
  <c r="L125" i="3"/>
  <c r="I126" i="3"/>
  <c r="J126" i="3"/>
  <c r="K126" i="3"/>
  <c r="L126" i="3"/>
  <c r="I127" i="3"/>
  <c r="J127" i="3"/>
  <c r="K127" i="3"/>
  <c r="L127" i="3"/>
  <c r="I128" i="3"/>
  <c r="O128" i="3" s="1"/>
  <c r="J128" i="3"/>
  <c r="K128" i="3"/>
  <c r="L128" i="3"/>
  <c r="I129" i="3"/>
  <c r="J129" i="3"/>
  <c r="K129" i="3"/>
  <c r="L129" i="3"/>
  <c r="I130" i="3"/>
  <c r="J130" i="3"/>
  <c r="K130" i="3"/>
  <c r="L130" i="3"/>
  <c r="I131" i="3"/>
  <c r="J131" i="3"/>
  <c r="K131" i="3"/>
  <c r="L131" i="3"/>
  <c r="I132" i="3"/>
  <c r="O132" i="3" s="1"/>
  <c r="J132" i="3"/>
  <c r="K132" i="3"/>
  <c r="L132" i="3"/>
  <c r="I133" i="3"/>
  <c r="J133" i="3"/>
  <c r="K133" i="3"/>
  <c r="L133" i="3"/>
  <c r="I134" i="3"/>
  <c r="J134" i="3"/>
  <c r="K134" i="3"/>
  <c r="L134" i="3"/>
  <c r="I135" i="3"/>
  <c r="J135" i="3"/>
  <c r="K135" i="3"/>
  <c r="L135" i="3"/>
  <c r="I136" i="3"/>
  <c r="O136" i="3" s="1"/>
  <c r="J136" i="3"/>
  <c r="K136" i="3"/>
  <c r="L136" i="3"/>
  <c r="I137" i="3"/>
  <c r="J137" i="3"/>
  <c r="K137" i="3"/>
  <c r="L137" i="3"/>
  <c r="I138" i="3"/>
  <c r="O138" i="3" s="1"/>
  <c r="J138" i="3"/>
  <c r="K138" i="3"/>
  <c r="L138" i="3"/>
  <c r="I139" i="3"/>
  <c r="J139" i="3"/>
  <c r="K139" i="3"/>
  <c r="L139" i="3"/>
  <c r="I140" i="3"/>
  <c r="J140" i="3"/>
  <c r="K140" i="3"/>
  <c r="L140" i="3"/>
  <c r="I141" i="3"/>
  <c r="J141" i="3"/>
  <c r="K141" i="3"/>
  <c r="L141" i="3"/>
  <c r="I142" i="3"/>
  <c r="O142" i="3" s="1"/>
  <c r="J142" i="3"/>
  <c r="K142" i="3"/>
  <c r="L142" i="3"/>
  <c r="I143" i="3"/>
  <c r="J143" i="3"/>
  <c r="K143" i="3"/>
  <c r="L143" i="3"/>
  <c r="I144" i="3"/>
  <c r="O144" i="3" s="1"/>
  <c r="J144" i="3"/>
  <c r="K144" i="3"/>
  <c r="L144" i="3"/>
  <c r="I145" i="3"/>
  <c r="J145" i="3"/>
  <c r="K145" i="3"/>
  <c r="L145" i="3"/>
  <c r="I146" i="3"/>
  <c r="O146" i="3" s="1"/>
  <c r="J146" i="3"/>
  <c r="K146" i="3"/>
  <c r="L146" i="3"/>
  <c r="I147" i="3"/>
  <c r="J147" i="3"/>
  <c r="K147" i="3"/>
  <c r="L147" i="3"/>
  <c r="I148" i="3"/>
  <c r="O148" i="3" s="1"/>
  <c r="J148" i="3"/>
  <c r="K148" i="3"/>
  <c r="L148" i="3"/>
  <c r="I149" i="3"/>
  <c r="J149" i="3"/>
  <c r="K149" i="3"/>
  <c r="L149" i="3"/>
  <c r="I150" i="3"/>
  <c r="O150" i="3" s="1"/>
  <c r="J150" i="3"/>
  <c r="K150" i="3"/>
  <c r="L150" i="3"/>
  <c r="I151" i="3"/>
  <c r="J151" i="3"/>
  <c r="K151" i="3"/>
  <c r="L151" i="3"/>
  <c r="I152" i="3"/>
  <c r="O152" i="3" s="1"/>
  <c r="J152" i="3"/>
  <c r="K152" i="3"/>
  <c r="L152" i="3"/>
  <c r="I153" i="3"/>
  <c r="J153" i="3"/>
  <c r="K153" i="3"/>
  <c r="L153" i="3"/>
  <c r="I154" i="3"/>
  <c r="J154" i="3"/>
  <c r="K154" i="3"/>
  <c r="L154" i="3"/>
  <c r="I155" i="3"/>
  <c r="J155" i="3"/>
  <c r="K155" i="3"/>
  <c r="L155" i="3"/>
  <c r="I156" i="3"/>
  <c r="O156" i="3" s="1"/>
  <c r="J156" i="3"/>
  <c r="K156" i="3"/>
  <c r="L156" i="3"/>
  <c r="I157" i="3"/>
  <c r="J157" i="3"/>
  <c r="K157" i="3"/>
  <c r="L157" i="3"/>
  <c r="I158" i="3"/>
  <c r="J158" i="3"/>
  <c r="K158" i="3"/>
  <c r="L158" i="3"/>
  <c r="I159" i="3"/>
  <c r="J159" i="3"/>
  <c r="K159" i="3"/>
  <c r="L159" i="3"/>
  <c r="I160" i="3"/>
  <c r="J160" i="3"/>
  <c r="K160" i="3"/>
  <c r="L160" i="3"/>
  <c r="I161" i="3"/>
  <c r="J161" i="3"/>
  <c r="K161" i="3"/>
  <c r="L161" i="3"/>
  <c r="I162" i="3"/>
  <c r="O162" i="3" s="1"/>
  <c r="J162" i="3"/>
  <c r="K162" i="3"/>
  <c r="L162" i="3"/>
  <c r="I163" i="3"/>
  <c r="J163" i="3"/>
  <c r="K163" i="3"/>
  <c r="L163" i="3"/>
  <c r="I164" i="3"/>
  <c r="J164" i="3"/>
  <c r="K164" i="3"/>
  <c r="L164" i="3"/>
  <c r="I165" i="3"/>
  <c r="J165" i="3"/>
  <c r="K165" i="3"/>
  <c r="L165" i="3"/>
  <c r="I166" i="3"/>
  <c r="O166" i="3" s="1"/>
  <c r="J166" i="3"/>
  <c r="K166" i="3"/>
  <c r="L166" i="3"/>
  <c r="I167" i="3"/>
  <c r="J167" i="3"/>
  <c r="K167" i="3"/>
  <c r="L167" i="3"/>
  <c r="I168" i="3"/>
  <c r="O168" i="3" s="1"/>
  <c r="J168" i="3"/>
  <c r="K168" i="3"/>
  <c r="L168" i="3"/>
  <c r="I169" i="3"/>
  <c r="J169" i="3"/>
  <c r="K169" i="3"/>
  <c r="L169" i="3"/>
  <c r="I170" i="3"/>
  <c r="O170" i="3" s="1"/>
  <c r="J170" i="3"/>
  <c r="K170" i="3"/>
  <c r="L170" i="3"/>
  <c r="I171" i="3"/>
  <c r="J171" i="3"/>
  <c r="K171" i="3"/>
  <c r="L171" i="3"/>
  <c r="I172" i="3"/>
  <c r="J172" i="3"/>
  <c r="K172" i="3"/>
  <c r="L172" i="3"/>
  <c r="I173" i="3"/>
  <c r="J173" i="3"/>
  <c r="K173" i="3"/>
  <c r="L173" i="3"/>
  <c r="I174" i="3"/>
  <c r="O174" i="3" s="1"/>
  <c r="J174" i="3"/>
  <c r="K174" i="3"/>
  <c r="L174" i="3"/>
  <c r="I175" i="3"/>
  <c r="J175" i="3"/>
  <c r="K175" i="3"/>
  <c r="L175" i="3"/>
  <c r="I176" i="3"/>
  <c r="O176" i="3" s="1"/>
  <c r="J176" i="3"/>
  <c r="K176" i="3"/>
  <c r="L176" i="3"/>
  <c r="I177" i="3"/>
  <c r="J177" i="3"/>
  <c r="K177" i="3"/>
  <c r="L177" i="3"/>
  <c r="I178" i="3"/>
  <c r="J178" i="3"/>
  <c r="K178" i="3"/>
  <c r="L178" i="3"/>
  <c r="I179" i="3"/>
  <c r="J179" i="3"/>
  <c r="K179" i="3"/>
  <c r="L179" i="3"/>
  <c r="I180" i="3"/>
  <c r="O180" i="3" s="1"/>
  <c r="J180" i="3"/>
  <c r="K180" i="3"/>
  <c r="L180" i="3"/>
  <c r="I181" i="3"/>
  <c r="J181" i="3"/>
  <c r="K181" i="3"/>
  <c r="L181" i="3"/>
  <c r="I182" i="3"/>
  <c r="J182" i="3"/>
  <c r="K182" i="3"/>
  <c r="L182" i="3"/>
  <c r="I183" i="3"/>
  <c r="J183" i="3"/>
  <c r="K183" i="3"/>
  <c r="L183" i="3"/>
  <c r="I184" i="3"/>
  <c r="O184" i="3" s="1"/>
  <c r="J184" i="3"/>
  <c r="K184" i="3"/>
  <c r="L184" i="3"/>
  <c r="I185" i="3"/>
  <c r="J185" i="3"/>
  <c r="K185" i="3"/>
  <c r="L185" i="3"/>
  <c r="I186" i="3"/>
  <c r="O186" i="3" s="1"/>
  <c r="J186" i="3"/>
  <c r="K186" i="3"/>
  <c r="L186" i="3"/>
  <c r="I187" i="3"/>
  <c r="J187" i="3"/>
  <c r="K187" i="3"/>
  <c r="L187" i="3"/>
  <c r="I188" i="3"/>
  <c r="J188" i="3"/>
  <c r="K188" i="3"/>
  <c r="L188" i="3"/>
  <c r="I189" i="3"/>
  <c r="J189" i="3"/>
  <c r="K189" i="3"/>
  <c r="L189" i="3"/>
  <c r="I190" i="3"/>
  <c r="O190" i="3" s="1"/>
  <c r="J190" i="3"/>
  <c r="K190" i="3"/>
  <c r="L190" i="3"/>
  <c r="I191" i="3"/>
  <c r="J191" i="3"/>
  <c r="K191" i="3"/>
  <c r="L191" i="3"/>
  <c r="I192" i="3"/>
  <c r="O192" i="3" s="1"/>
  <c r="J192" i="3"/>
  <c r="K192" i="3"/>
  <c r="L192" i="3"/>
  <c r="I193" i="3"/>
  <c r="J193" i="3"/>
  <c r="K193" i="3"/>
  <c r="L193" i="3"/>
  <c r="I194" i="3"/>
  <c r="J194" i="3"/>
  <c r="K194" i="3"/>
  <c r="L194" i="3"/>
  <c r="I195" i="3"/>
  <c r="J195" i="3"/>
  <c r="K195" i="3"/>
  <c r="L195" i="3"/>
  <c r="I196" i="3"/>
  <c r="O196" i="3" s="1"/>
  <c r="J196" i="3"/>
  <c r="K196" i="3"/>
  <c r="L196" i="3"/>
  <c r="I197" i="3"/>
  <c r="J197" i="3"/>
  <c r="K197" i="3"/>
  <c r="L197" i="3"/>
  <c r="I198" i="3"/>
  <c r="J198" i="3"/>
  <c r="K198" i="3"/>
  <c r="L198" i="3"/>
  <c r="I199" i="3"/>
  <c r="J199" i="3"/>
  <c r="K199" i="3"/>
  <c r="L199" i="3"/>
  <c r="I200" i="3"/>
  <c r="O200" i="3" s="1"/>
  <c r="J200" i="3"/>
  <c r="K200" i="3"/>
  <c r="L200" i="3"/>
  <c r="I201" i="3"/>
  <c r="J201" i="3"/>
  <c r="K201" i="3"/>
  <c r="L201" i="3"/>
  <c r="I202" i="3"/>
  <c r="O202" i="3" s="1"/>
  <c r="J202" i="3"/>
  <c r="K202" i="3"/>
  <c r="L202" i="3"/>
  <c r="I203" i="3"/>
  <c r="J203" i="3"/>
  <c r="K203" i="3"/>
  <c r="L203" i="3"/>
  <c r="I204" i="3"/>
  <c r="O204" i="3" s="1"/>
  <c r="J204" i="3"/>
  <c r="K204" i="3"/>
  <c r="L204" i="3"/>
  <c r="I205" i="3"/>
  <c r="J205" i="3"/>
  <c r="K205" i="3"/>
  <c r="L205" i="3"/>
  <c r="I206" i="3"/>
  <c r="O206" i="3" s="1"/>
  <c r="J206" i="3"/>
  <c r="K206" i="3"/>
  <c r="L206" i="3"/>
  <c r="I207" i="3"/>
  <c r="J207" i="3"/>
  <c r="K207" i="3"/>
  <c r="L207" i="3"/>
  <c r="I208" i="3"/>
  <c r="J208" i="3"/>
  <c r="K208" i="3"/>
  <c r="L208" i="3"/>
  <c r="I209" i="3"/>
  <c r="J209" i="3"/>
  <c r="K209" i="3"/>
  <c r="L209" i="3"/>
  <c r="I210" i="3"/>
  <c r="O210" i="3" s="1"/>
  <c r="J210" i="3"/>
  <c r="K210" i="3"/>
  <c r="L210" i="3"/>
  <c r="I211" i="3"/>
  <c r="J211" i="3"/>
  <c r="K211" i="3"/>
  <c r="L211" i="3"/>
  <c r="I212" i="3"/>
  <c r="J212" i="3"/>
  <c r="K212" i="3"/>
  <c r="L212" i="3"/>
  <c r="I213" i="3"/>
  <c r="J213" i="3"/>
  <c r="K213" i="3"/>
  <c r="L213" i="3"/>
  <c r="I214" i="3"/>
  <c r="O214" i="3" s="1"/>
  <c r="J214" i="3"/>
  <c r="K214" i="3"/>
  <c r="L214" i="3"/>
  <c r="I215" i="3"/>
  <c r="J215" i="3"/>
  <c r="K215" i="3"/>
  <c r="L215" i="3"/>
  <c r="I216" i="3"/>
  <c r="J216" i="3"/>
  <c r="K216" i="3"/>
  <c r="L216" i="3"/>
  <c r="I217" i="3"/>
  <c r="J217" i="3"/>
  <c r="K217" i="3"/>
  <c r="L217" i="3"/>
  <c r="I218" i="3"/>
  <c r="O218" i="3" s="1"/>
  <c r="J218" i="3"/>
  <c r="K218" i="3"/>
  <c r="L218" i="3"/>
  <c r="I219" i="3"/>
  <c r="J219" i="3"/>
  <c r="K219" i="3"/>
  <c r="L219" i="3"/>
  <c r="I220" i="3"/>
  <c r="J220" i="3"/>
  <c r="K220" i="3"/>
  <c r="L220" i="3"/>
  <c r="I221" i="3"/>
  <c r="J221" i="3"/>
  <c r="K221" i="3"/>
  <c r="L221" i="3"/>
  <c r="I222" i="3"/>
  <c r="O222" i="3" s="1"/>
  <c r="J222" i="3"/>
  <c r="K222" i="3"/>
  <c r="L222" i="3"/>
  <c r="I223" i="3"/>
  <c r="J223" i="3"/>
  <c r="K223" i="3"/>
  <c r="L223" i="3"/>
  <c r="I224" i="3"/>
  <c r="O224" i="3" s="1"/>
  <c r="J224" i="3"/>
  <c r="K224" i="3"/>
  <c r="L224" i="3"/>
  <c r="I225" i="3"/>
  <c r="J225" i="3"/>
  <c r="K225" i="3"/>
  <c r="L225" i="3"/>
  <c r="I226" i="3"/>
  <c r="O226" i="3" s="1"/>
  <c r="J226" i="3"/>
  <c r="K226" i="3"/>
  <c r="L226" i="3"/>
  <c r="I227" i="3"/>
  <c r="J227" i="3"/>
  <c r="K227" i="3"/>
  <c r="L227" i="3"/>
  <c r="I228" i="3"/>
  <c r="O228" i="3" s="1"/>
  <c r="J228" i="3"/>
  <c r="K228" i="3"/>
  <c r="L228" i="3"/>
  <c r="I229" i="3"/>
  <c r="J229" i="3"/>
  <c r="K229" i="3"/>
  <c r="L229" i="3"/>
  <c r="I230" i="3"/>
  <c r="O230" i="3" s="1"/>
  <c r="J230" i="3"/>
  <c r="K230" i="3"/>
  <c r="L230" i="3"/>
  <c r="I231" i="3"/>
  <c r="J231" i="3"/>
  <c r="K231" i="3"/>
  <c r="L231" i="3"/>
  <c r="I232" i="3"/>
  <c r="J232" i="3"/>
  <c r="K232" i="3"/>
  <c r="L232" i="3"/>
  <c r="I233" i="3"/>
  <c r="J233" i="3"/>
  <c r="K233" i="3"/>
  <c r="L233" i="3"/>
  <c r="I234" i="3"/>
  <c r="O234" i="3" s="1"/>
  <c r="J234" i="3"/>
  <c r="K234" i="3"/>
  <c r="L234" i="3"/>
  <c r="I235" i="3"/>
  <c r="J235" i="3"/>
  <c r="K235" i="3"/>
  <c r="L235" i="3"/>
  <c r="I236" i="3"/>
  <c r="O236" i="3" s="1"/>
  <c r="J236" i="3"/>
  <c r="K236" i="3"/>
  <c r="L236" i="3"/>
  <c r="I237" i="3"/>
  <c r="J237" i="3"/>
  <c r="K237" i="3"/>
  <c r="L237" i="3"/>
  <c r="I238" i="3"/>
  <c r="O238" i="3" s="1"/>
  <c r="J238" i="3"/>
  <c r="K238" i="3"/>
  <c r="L238" i="3"/>
  <c r="I239" i="3"/>
  <c r="J239" i="3"/>
  <c r="K239" i="3"/>
  <c r="L239" i="3"/>
  <c r="I240" i="3"/>
  <c r="O240" i="3" s="1"/>
  <c r="J240" i="3"/>
  <c r="K240" i="3"/>
  <c r="L240" i="3"/>
  <c r="I241" i="3"/>
  <c r="J241" i="3"/>
  <c r="K241" i="3"/>
  <c r="L241" i="3"/>
  <c r="I242" i="3"/>
  <c r="J242" i="3"/>
  <c r="K242" i="3"/>
  <c r="L242" i="3"/>
  <c r="I243" i="3"/>
  <c r="J243" i="3"/>
  <c r="K243" i="3"/>
  <c r="L243" i="3"/>
  <c r="I244" i="3"/>
  <c r="O244" i="3" s="1"/>
  <c r="J244" i="3"/>
  <c r="K244" i="3"/>
  <c r="L244" i="3"/>
  <c r="I245" i="3"/>
  <c r="J245" i="3"/>
  <c r="K245" i="3"/>
  <c r="L245" i="3"/>
  <c r="I246" i="3"/>
  <c r="J246" i="3"/>
  <c r="K246" i="3"/>
  <c r="L246" i="3"/>
  <c r="I247" i="3"/>
  <c r="J247" i="3"/>
  <c r="K247" i="3"/>
  <c r="L247" i="3"/>
  <c r="I248" i="3"/>
  <c r="O248" i="3" s="1"/>
  <c r="J248" i="3"/>
  <c r="K248" i="3"/>
  <c r="L248" i="3"/>
  <c r="I249" i="3"/>
  <c r="J249" i="3"/>
  <c r="K249" i="3"/>
  <c r="L249" i="3"/>
  <c r="I250" i="3"/>
  <c r="J250" i="3"/>
  <c r="K250" i="3"/>
  <c r="L250" i="3"/>
  <c r="I251" i="3"/>
  <c r="J251" i="3"/>
  <c r="K251" i="3"/>
  <c r="L251" i="3"/>
  <c r="I252" i="3"/>
  <c r="O252" i="3" s="1"/>
  <c r="J252" i="3"/>
  <c r="K252" i="3"/>
  <c r="L252" i="3"/>
  <c r="I253" i="3"/>
  <c r="J253" i="3"/>
  <c r="K253" i="3"/>
  <c r="L253" i="3"/>
  <c r="I254" i="3"/>
  <c r="J254" i="3"/>
  <c r="K254" i="3"/>
  <c r="L254" i="3"/>
  <c r="I255" i="3"/>
  <c r="J255" i="3"/>
  <c r="K255" i="3"/>
  <c r="L255" i="3"/>
  <c r="I256" i="3"/>
  <c r="O256" i="3" s="1"/>
  <c r="J256" i="3"/>
  <c r="K256" i="3"/>
  <c r="L256" i="3"/>
  <c r="I257" i="3"/>
  <c r="J257" i="3"/>
  <c r="K257" i="3"/>
  <c r="L257" i="3"/>
  <c r="I258" i="3"/>
  <c r="J258" i="3"/>
  <c r="K258" i="3"/>
  <c r="L258" i="3"/>
  <c r="I259" i="3"/>
  <c r="J259" i="3"/>
  <c r="K259" i="3"/>
  <c r="L259" i="3"/>
  <c r="I260" i="3"/>
  <c r="O260" i="3" s="1"/>
  <c r="J260" i="3"/>
  <c r="K260" i="3"/>
  <c r="L260" i="3"/>
  <c r="I261" i="3"/>
  <c r="J261" i="3"/>
  <c r="K261" i="3"/>
  <c r="L261" i="3"/>
  <c r="I262" i="3"/>
  <c r="J262" i="3"/>
  <c r="K262" i="3"/>
  <c r="L262" i="3"/>
  <c r="I263" i="3"/>
  <c r="J263" i="3"/>
  <c r="K263" i="3"/>
  <c r="L263" i="3"/>
  <c r="I264" i="3"/>
  <c r="O264" i="3" s="1"/>
  <c r="J264" i="3"/>
  <c r="K264" i="3"/>
  <c r="L264" i="3"/>
  <c r="I265" i="3"/>
  <c r="J265" i="3"/>
  <c r="K265" i="3"/>
  <c r="L265" i="3"/>
  <c r="I266" i="3"/>
  <c r="O266" i="3" s="1"/>
  <c r="J266" i="3"/>
  <c r="K266" i="3"/>
  <c r="L266" i="3"/>
  <c r="I267" i="3"/>
  <c r="J267" i="3"/>
  <c r="K267" i="3"/>
  <c r="L267" i="3"/>
  <c r="I268" i="3"/>
  <c r="O268" i="3" s="1"/>
  <c r="J268" i="3"/>
  <c r="K268" i="3"/>
  <c r="L268" i="3"/>
  <c r="I269" i="3"/>
  <c r="J269" i="3"/>
  <c r="K269" i="3"/>
  <c r="L269" i="3"/>
  <c r="I270" i="3"/>
  <c r="O270" i="3" s="1"/>
  <c r="J270" i="3"/>
  <c r="K270" i="3"/>
  <c r="L270" i="3"/>
  <c r="I271" i="3"/>
  <c r="J271" i="3"/>
  <c r="K271" i="3"/>
  <c r="L271" i="3"/>
  <c r="I272" i="3"/>
  <c r="J272" i="3"/>
  <c r="K272" i="3"/>
  <c r="L272" i="3"/>
  <c r="I273" i="3"/>
  <c r="J273" i="3"/>
  <c r="K273" i="3"/>
  <c r="L273" i="3"/>
  <c r="I274" i="3"/>
  <c r="O274" i="3" s="1"/>
  <c r="J274" i="3"/>
  <c r="K274" i="3"/>
  <c r="L274" i="3"/>
  <c r="I275" i="3"/>
  <c r="J275" i="3"/>
  <c r="K275" i="3"/>
  <c r="L275" i="3"/>
  <c r="I276" i="3"/>
  <c r="J276" i="3"/>
  <c r="K276" i="3"/>
  <c r="L276" i="3"/>
  <c r="I277" i="3"/>
  <c r="J277" i="3"/>
  <c r="K277" i="3"/>
  <c r="L277" i="3"/>
  <c r="I278" i="3"/>
  <c r="O278" i="3" s="1"/>
  <c r="J278" i="3"/>
  <c r="K278" i="3"/>
  <c r="L278" i="3"/>
  <c r="I279" i="3"/>
  <c r="J279" i="3"/>
  <c r="K279" i="3"/>
  <c r="L279" i="3"/>
  <c r="I280" i="3"/>
  <c r="J280" i="3"/>
  <c r="K280" i="3"/>
  <c r="L280" i="3"/>
  <c r="I281" i="3"/>
  <c r="J281" i="3"/>
  <c r="K281" i="3"/>
  <c r="L281" i="3"/>
  <c r="I282" i="3"/>
  <c r="O282" i="3" s="1"/>
  <c r="J282" i="3"/>
  <c r="K282" i="3"/>
  <c r="L282" i="3"/>
  <c r="I283" i="3"/>
  <c r="J283" i="3"/>
  <c r="K283" i="3"/>
  <c r="L283" i="3"/>
  <c r="I284" i="3"/>
  <c r="J284" i="3"/>
  <c r="K284" i="3"/>
  <c r="L284" i="3"/>
  <c r="I285" i="3"/>
  <c r="J285" i="3"/>
  <c r="K285" i="3"/>
  <c r="L285" i="3"/>
  <c r="I286" i="3"/>
  <c r="O286" i="3" s="1"/>
  <c r="J286" i="3"/>
  <c r="K286" i="3"/>
  <c r="L286" i="3"/>
  <c r="I287" i="3"/>
  <c r="J287" i="3"/>
  <c r="K287" i="3"/>
  <c r="L287" i="3"/>
  <c r="I288" i="3"/>
  <c r="O288" i="3" s="1"/>
  <c r="J288" i="3"/>
  <c r="K288" i="3"/>
  <c r="L288" i="3"/>
  <c r="I289" i="3"/>
  <c r="J289" i="3"/>
  <c r="K289" i="3"/>
  <c r="L289" i="3"/>
  <c r="I290" i="3"/>
  <c r="O290" i="3" s="1"/>
  <c r="J290" i="3"/>
  <c r="K290" i="3"/>
  <c r="L290" i="3"/>
  <c r="I291" i="3"/>
  <c r="J291" i="3"/>
  <c r="K291" i="3"/>
  <c r="L291" i="3"/>
  <c r="I292" i="3"/>
  <c r="O292" i="3" s="1"/>
  <c r="J292" i="3"/>
  <c r="K292" i="3"/>
  <c r="L292" i="3"/>
  <c r="I293" i="3"/>
  <c r="J293" i="3"/>
  <c r="K293" i="3"/>
  <c r="L293" i="3"/>
  <c r="I294" i="3"/>
  <c r="J294" i="3"/>
  <c r="K294" i="3"/>
  <c r="L294" i="3"/>
  <c r="I295" i="3"/>
  <c r="J295" i="3"/>
  <c r="K295" i="3"/>
  <c r="L295" i="3"/>
  <c r="I296" i="3"/>
  <c r="O296" i="3" s="1"/>
  <c r="J296" i="3"/>
  <c r="K296" i="3"/>
  <c r="L296" i="3"/>
  <c r="I297" i="3"/>
  <c r="J297" i="3"/>
  <c r="K297" i="3"/>
  <c r="L297" i="3"/>
  <c r="I298" i="3"/>
  <c r="J298" i="3"/>
  <c r="K298" i="3"/>
  <c r="L298" i="3"/>
  <c r="I299" i="3"/>
  <c r="J299" i="3"/>
  <c r="K299" i="3"/>
  <c r="L299" i="3"/>
  <c r="I300" i="3"/>
  <c r="O300" i="3" s="1"/>
  <c r="J300" i="3"/>
  <c r="K300" i="3"/>
  <c r="L300" i="3"/>
  <c r="I301" i="3"/>
  <c r="J301" i="3"/>
  <c r="K301" i="3"/>
  <c r="L301" i="3"/>
  <c r="I302" i="3"/>
  <c r="O302" i="3" s="1"/>
  <c r="J302" i="3"/>
  <c r="K302" i="3"/>
  <c r="L302" i="3"/>
  <c r="I303" i="3"/>
  <c r="J303" i="3"/>
  <c r="K303" i="3"/>
  <c r="L303" i="3"/>
  <c r="I304" i="3"/>
  <c r="O304" i="3" s="1"/>
  <c r="J304" i="3"/>
  <c r="K304" i="3"/>
  <c r="L304" i="3"/>
  <c r="I305" i="3"/>
  <c r="J305" i="3"/>
  <c r="K305" i="3"/>
  <c r="L305" i="3"/>
  <c r="I306" i="3"/>
  <c r="J306" i="3"/>
  <c r="K306" i="3"/>
  <c r="L306" i="3"/>
  <c r="I307" i="3"/>
  <c r="J307" i="3"/>
  <c r="K307" i="3"/>
  <c r="L307" i="3"/>
  <c r="I308" i="3"/>
  <c r="O308" i="3" s="1"/>
  <c r="J308" i="3"/>
  <c r="K308" i="3"/>
  <c r="L308" i="3"/>
  <c r="I309" i="3"/>
  <c r="J309" i="3"/>
  <c r="K309" i="3"/>
  <c r="L309" i="3"/>
  <c r="I310" i="3"/>
  <c r="O310" i="3" s="1"/>
  <c r="J310" i="3"/>
  <c r="K310" i="3"/>
  <c r="L310" i="3"/>
  <c r="I311" i="3"/>
  <c r="J311" i="3"/>
  <c r="K311" i="3"/>
  <c r="L311" i="3"/>
  <c r="I312" i="3"/>
  <c r="J312" i="3"/>
  <c r="K312" i="3"/>
  <c r="L312" i="3"/>
  <c r="I313" i="3"/>
  <c r="J313" i="3"/>
  <c r="K313" i="3"/>
  <c r="L313" i="3"/>
  <c r="I314" i="3"/>
  <c r="O314" i="3" s="1"/>
  <c r="J314" i="3"/>
  <c r="K314" i="3"/>
  <c r="L314" i="3"/>
  <c r="I315" i="3"/>
  <c r="J315" i="3"/>
  <c r="K315" i="3"/>
  <c r="L315" i="3"/>
  <c r="I316" i="3"/>
  <c r="J316" i="3"/>
  <c r="K316" i="3"/>
  <c r="L316" i="3"/>
  <c r="I317" i="3"/>
  <c r="J317" i="3"/>
  <c r="K317" i="3"/>
  <c r="L317" i="3"/>
  <c r="I318" i="3"/>
  <c r="O318" i="3" s="1"/>
  <c r="J318" i="3"/>
  <c r="K318" i="3"/>
  <c r="L318" i="3"/>
  <c r="I319" i="3"/>
  <c r="J319" i="3"/>
  <c r="K319" i="3"/>
  <c r="L319" i="3"/>
  <c r="I320" i="3"/>
  <c r="J320" i="3"/>
  <c r="K320" i="3"/>
  <c r="L320" i="3"/>
  <c r="I321" i="3"/>
  <c r="J321" i="3"/>
  <c r="K321" i="3"/>
  <c r="L321" i="3"/>
  <c r="I322" i="3"/>
  <c r="O322" i="3" s="1"/>
  <c r="J322" i="3"/>
  <c r="K322" i="3"/>
  <c r="L322" i="3"/>
  <c r="I323" i="3"/>
  <c r="J323" i="3"/>
  <c r="K323" i="3"/>
  <c r="L323" i="3"/>
  <c r="I324" i="3"/>
  <c r="O324" i="3" s="1"/>
  <c r="J324" i="3"/>
  <c r="K324" i="3"/>
  <c r="L324" i="3"/>
  <c r="I325" i="3"/>
  <c r="J325" i="3"/>
  <c r="K325" i="3"/>
  <c r="L325" i="3"/>
  <c r="I326" i="3"/>
  <c r="J326" i="3"/>
  <c r="K326" i="3"/>
  <c r="L326" i="3"/>
  <c r="I327" i="3"/>
  <c r="J327" i="3"/>
  <c r="K327" i="3"/>
  <c r="L327" i="3"/>
  <c r="I328" i="3"/>
  <c r="O328" i="3" s="1"/>
  <c r="J328" i="3"/>
  <c r="K328" i="3"/>
  <c r="L328" i="3"/>
  <c r="I329" i="3"/>
  <c r="J329" i="3"/>
  <c r="K329" i="3"/>
  <c r="L329" i="3"/>
  <c r="I330" i="3"/>
  <c r="J330" i="3"/>
  <c r="K330" i="3"/>
  <c r="L330" i="3"/>
  <c r="I331" i="3"/>
  <c r="J331" i="3"/>
  <c r="K331" i="3"/>
  <c r="L331" i="3"/>
  <c r="I332" i="3"/>
  <c r="O332" i="3" s="1"/>
  <c r="J332" i="3"/>
  <c r="K332" i="3"/>
  <c r="L332" i="3"/>
  <c r="I333" i="3"/>
  <c r="J333" i="3"/>
  <c r="K333" i="3"/>
  <c r="L333" i="3"/>
  <c r="I334" i="3"/>
  <c r="O334" i="3" s="1"/>
  <c r="J334" i="3"/>
  <c r="K334" i="3"/>
  <c r="L334" i="3"/>
  <c r="I335" i="3"/>
  <c r="J335" i="3"/>
  <c r="K335" i="3"/>
  <c r="L335" i="3"/>
  <c r="I336" i="3"/>
  <c r="O336" i="3" s="1"/>
  <c r="J336" i="3"/>
  <c r="K336" i="3"/>
  <c r="L336" i="3"/>
  <c r="I337" i="3"/>
  <c r="J337" i="3"/>
  <c r="K337" i="3"/>
  <c r="L337" i="3"/>
  <c r="I338" i="3"/>
  <c r="O338" i="3" s="1"/>
  <c r="J338" i="3"/>
  <c r="K338" i="3"/>
  <c r="L338" i="3"/>
  <c r="I339" i="3"/>
  <c r="J339" i="3"/>
  <c r="K339" i="3"/>
  <c r="L339" i="3"/>
  <c r="I340" i="3"/>
  <c r="J340" i="3"/>
  <c r="K340" i="3"/>
  <c r="L340" i="3"/>
  <c r="I341" i="3"/>
  <c r="J341" i="3"/>
  <c r="K341" i="3"/>
  <c r="L341" i="3"/>
  <c r="I342" i="3"/>
  <c r="O342" i="3" s="1"/>
  <c r="J342" i="3"/>
  <c r="K342" i="3"/>
  <c r="L342" i="3"/>
  <c r="I343" i="3"/>
  <c r="J343" i="3"/>
  <c r="K343" i="3"/>
  <c r="L343" i="3"/>
  <c r="I344" i="3"/>
  <c r="J344" i="3"/>
  <c r="K344" i="3"/>
  <c r="L344" i="3"/>
  <c r="I345" i="3"/>
  <c r="J345" i="3"/>
  <c r="K345" i="3"/>
  <c r="L345" i="3"/>
  <c r="I346" i="3"/>
  <c r="O346" i="3" s="1"/>
  <c r="J346" i="3"/>
  <c r="K346" i="3"/>
  <c r="L346" i="3"/>
  <c r="I347" i="3"/>
  <c r="J347" i="3"/>
  <c r="K347" i="3"/>
  <c r="L347" i="3"/>
  <c r="I348" i="3"/>
  <c r="O348" i="3" s="1"/>
  <c r="J348" i="3"/>
  <c r="K348" i="3"/>
  <c r="L348" i="3"/>
  <c r="I349" i="3"/>
  <c r="J349" i="3"/>
  <c r="K349" i="3"/>
  <c r="L349" i="3"/>
  <c r="I350" i="3"/>
  <c r="O350" i="3" s="1"/>
  <c r="J350" i="3"/>
  <c r="K350" i="3"/>
  <c r="L350" i="3"/>
  <c r="I351" i="3"/>
  <c r="J351" i="3"/>
  <c r="K351" i="3"/>
  <c r="L351" i="3"/>
  <c r="I352" i="3"/>
  <c r="J352" i="3"/>
  <c r="K352" i="3"/>
  <c r="L352" i="3"/>
  <c r="I353" i="3"/>
  <c r="J353" i="3"/>
  <c r="K353" i="3"/>
  <c r="L353" i="3"/>
  <c r="I354" i="3"/>
  <c r="O354" i="3" s="1"/>
  <c r="J354" i="3"/>
  <c r="K354" i="3"/>
  <c r="L354" i="3"/>
  <c r="I355" i="3"/>
  <c r="J355" i="3"/>
  <c r="K355" i="3"/>
  <c r="L355" i="3"/>
  <c r="I356" i="3"/>
  <c r="O356" i="3" s="1"/>
  <c r="J356" i="3"/>
  <c r="K356" i="3"/>
  <c r="L356" i="3"/>
  <c r="I357" i="3"/>
  <c r="J357" i="3"/>
  <c r="K357" i="3"/>
  <c r="L357" i="3"/>
  <c r="I358" i="3"/>
  <c r="J358" i="3"/>
  <c r="K358" i="3"/>
  <c r="L358" i="3"/>
  <c r="I359" i="3"/>
  <c r="J359" i="3"/>
  <c r="K359" i="3"/>
  <c r="L359" i="3"/>
  <c r="I360" i="3"/>
  <c r="O360" i="3" s="1"/>
  <c r="J360" i="3"/>
  <c r="K360" i="3"/>
  <c r="L360" i="3"/>
  <c r="I361" i="3"/>
  <c r="J361" i="3"/>
  <c r="K361" i="3"/>
  <c r="L361" i="3"/>
  <c r="I362" i="3"/>
  <c r="O362" i="3" s="1"/>
  <c r="J362" i="3"/>
  <c r="K362" i="3"/>
  <c r="L362" i="3"/>
  <c r="I363" i="3"/>
  <c r="J363" i="3"/>
  <c r="K363" i="3"/>
  <c r="L363" i="3"/>
  <c r="I364" i="3"/>
  <c r="J364" i="3"/>
  <c r="K364" i="3"/>
  <c r="L364" i="3"/>
  <c r="I365" i="3"/>
  <c r="J365" i="3"/>
  <c r="K365" i="3"/>
  <c r="L365" i="3"/>
  <c r="I366" i="3"/>
  <c r="O366" i="3" s="1"/>
  <c r="J366" i="3"/>
  <c r="K366" i="3"/>
  <c r="L366" i="3"/>
  <c r="I367" i="3"/>
  <c r="J367" i="3"/>
  <c r="K367" i="3"/>
  <c r="L367" i="3"/>
  <c r="I368" i="3"/>
  <c r="J368" i="3"/>
  <c r="K368" i="3"/>
  <c r="L368" i="3"/>
  <c r="I369" i="3"/>
  <c r="J369" i="3"/>
  <c r="K369" i="3"/>
  <c r="L369" i="3"/>
  <c r="I370" i="3"/>
  <c r="O370" i="3" s="1"/>
  <c r="J370" i="3"/>
  <c r="K370" i="3"/>
  <c r="L370" i="3"/>
  <c r="I371" i="3"/>
  <c r="J371" i="3"/>
  <c r="K371" i="3"/>
  <c r="L371" i="3"/>
  <c r="I372" i="3"/>
  <c r="J372" i="3"/>
  <c r="K372" i="3"/>
  <c r="L372" i="3"/>
  <c r="I373" i="3"/>
  <c r="J373" i="3"/>
  <c r="K373" i="3"/>
  <c r="L373" i="3"/>
  <c r="I374" i="3"/>
  <c r="O374" i="3" s="1"/>
  <c r="J374" i="3"/>
  <c r="K374" i="3"/>
  <c r="L374" i="3"/>
  <c r="I375" i="3"/>
  <c r="J375" i="3"/>
  <c r="K375" i="3"/>
  <c r="L375" i="3"/>
  <c r="I376" i="3"/>
  <c r="J376" i="3"/>
  <c r="K376" i="3"/>
  <c r="L376" i="3"/>
  <c r="I377" i="3"/>
  <c r="J377" i="3"/>
  <c r="K377" i="3"/>
  <c r="L377" i="3"/>
  <c r="I378" i="3"/>
  <c r="J378" i="3"/>
  <c r="K378" i="3"/>
  <c r="L378" i="3"/>
  <c r="I379" i="3"/>
  <c r="J379" i="3"/>
  <c r="K379" i="3"/>
  <c r="L379" i="3"/>
  <c r="I380" i="3"/>
  <c r="O380" i="3" s="1"/>
  <c r="J380" i="3"/>
  <c r="K380" i="3"/>
  <c r="L380" i="3"/>
  <c r="I381" i="3"/>
  <c r="J381" i="3"/>
  <c r="K381" i="3"/>
  <c r="L381" i="3"/>
  <c r="I382" i="3"/>
  <c r="J382" i="3"/>
  <c r="K382" i="3"/>
  <c r="L382" i="3"/>
  <c r="I383" i="3"/>
  <c r="J383" i="3"/>
  <c r="K383" i="3"/>
  <c r="L383" i="3"/>
  <c r="I384" i="3"/>
  <c r="O384" i="3" s="1"/>
  <c r="J384" i="3"/>
  <c r="K384" i="3"/>
  <c r="L384" i="3"/>
  <c r="I385" i="3"/>
  <c r="J385" i="3"/>
  <c r="K385" i="3"/>
  <c r="L385" i="3"/>
  <c r="I386" i="3"/>
  <c r="O386" i="3" s="1"/>
  <c r="J386" i="3"/>
  <c r="K386" i="3"/>
  <c r="L386" i="3"/>
  <c r="I387" i="3"/>
  <c r="J387" i="3"/>
  <c r="K387" i="3"/>
  <c r="L387" i="3"/>
  <c r="I388" i="3"/>
  <c r="J388" i="3"/>
  <c r="K388" i="3"/>
  <c r="L388" i="3"/>
  <c r="I389" i="3"/>
  <c r="J389" i="3"/>
  <c r="K389" i="3"/>
  <c r="L389" i="3"/>
  <c r="I390" i="3"/>
  <c r="J390" i="3"/>
  <c r="K390" i="3"/>
  <c r="L390" i="3"/>
  <c r="I391" i="3"/>
  <c r="J391" i="3"/>
  <c r="K391" i="3"/>
  <c r="L391" i="3"/>
  <c r="I392" i="3"/>
  <c r="J392" i="3"/>
  <c r="K392" i="3"/>
  <c r="L392" i="3"/>
  <c r="I393" i="3"/>
  <c r="J393" i="3"/>
  <c r="K393" i="3"/>
  <c r="L393" i="3"/>
  <c r="I394" i="3"/>
  <c r="J394" i="3"/>
  <c r="K394" i="3"/>
  <c r="L394" i="3"/>
  <c r="I395" i="3"/>
  <c r="J395" i="3"/>
  <c r="K395" i="3"/>
  <c r="L395" i="3"/>
  <c r="I396" i="3"/>
  <c r="J396" i="3"/>
  <c r="K396" i="3"/>
  <c r="L396" i="3"/>
  <c r="I397" i="3"/>
  <c r="J397" i="3"/>
  <c r="K397" i="3"/>
  <c r="L397" i="3"/>
  <c r="I398" i="3"/>
  <c r="J398" i="3"/>
  <c r="K398" i="3"/>
  <c r="L398" i="3"/>
  <c r="I399" i="3"/>
  <c r="J399" i="3"/>
  <c r="K399" i="3"/>
  <c r="L399" i="3"/>
  <c r="I400" i="3"/>
  <c r="J400" i="3"/>
  <c r="K400" i="3"/>
  <c r="L400" i="3"/>
  <c r="I401" i="3"/>
  <c r="J401" i="3"/>
  <c r="K401" i="3"/>
  <c r="L401" i="3"/>
  <c r="I402" i="3"/>
  <c r="J402" i="3"/>
  <c r="K402" i="3"/>
  <c r="L402" i="3"/>
  <c r="I403" i="3"/>
  <c r="J403" i="3"/>
  <c r="K403" i="3"/>
  <c r="L403" i="3"/>
  <c r="I404" i="3"/>
  <c r="J404" i="3"/>
  <c r="K404" i="3"/>
  <c r="L404" i="3"/>
  <c r="I405" i="3"/>
  <c r="J405" i="3"/>
  <c r="K405" i="3"/>
  <c r="L405" i="3"/>
  <c r="I406" i="3"/>
  <c r="J406" i="3"/>
  <c r="K406" i="3"/>
  <c r="L406" i="3"/>
  <c r="I407" i="3"/>
  <c r="J407" i="3"/>
  <c r="K407" i="3"/>
  <c r="L407" i="3"/>
  <c r="I408" i="3"/>
  <c r="J408" i="3"/>
  <c r="K408" i="3"/>
  <c r="L408" i="3"/>
  <c r="I409" i="3"/>
  <c r="J409" i="3"/>
  <c r="K409" i="3"/>
  <c r="L409" i="3"/>
  <c r="I410" i="3"/>
  <c r="J410" i="3"/>
  <c r="K410" i="3"/>
  <c r="L410" i="3"/>
  <c r="I411" i="3"/>
  <c r="J411" i="3"/>
  <c r="K411" i="3"/>
  <c r="L411" i="3"/>
  <c r="I412" i="3"/>
  <c r="J412" i="3"/>
  <c r="K412" i="3"/>
  <c r="L412" i="3"/>
  <c r="I413" i="3"/>
  <c r="J413" i="3"/>
  <c r="K413" i="3"/>
  <c r="L413" i="3"/>
  <c r="I414" i="3"/>
  <c r="J414" i="3"/>
  <c r="K414" i="3"/>
  <c r="L414" i="3"/>
  <c r="I415" i="3"/>
  <c r="J415" i="3"/>
  <c r="K415" i="3"/>
  <c r="L415" i="3"/>
  <c r="I416" i="3"/>
  <c r="J416" i="3"/>
  <c r="K416" i="3"/>
  <c r="L416" i="3"/>
  <c r="I417" i="3"/>
  <c r="J417" i="3"/>
  <c r="K417" i="3"/>
  <c r="L417" i="3"/>
  <c r="I418" i="3"/>
  <c r="J418" i="3"/>
  <c r="K418" i="3"/>
  <c r="L418" i="3"/>
  <c r="I419" i="3"/>
  <c r="J419" i="3"/>
  <c r="K419" i="3"/>
  <c r="L419" i="3"/>
  <c r="I420" i="3"/>
  <c r="J420" i="3"/>
  <c r="K420" i="3"/>
  <c r="L420" i="3"/>
  <c r="I421" i="3"/>
  <c r="J421" i="3"/>
  <c r="K421" i="3"/>
  <c r="L421" i="3"/>
  <c r="I422" i="3"/>
  <c r="J422" i="3"/>
  <c r="K422" i="3"/>
  <c r="L422" i="3"/>
  <c r="I423" i="3"/>
  <c r="J423" i="3"/>
  <c r="K423" i="3"/>
  <c r="L423" i="3"/>
  <c r="I424" i="3"/>
  <c r="J424" i="3"/>
  <c r="K424" i="3"/>
  <c r="L424" i="3"/>
  <c r="I425" i="3"/>
  <c r="J425" i="3"/>
  <c r="K425" i="3"/>
  <c r="L425" i="3"/>
  <c r="I426" i="3"/>
  <c r="J426" i="3"/>
  <c r="K426" i="3"/>
  <c r="L426" i="3"/>
  <c r="I427" i="3"/>
  <c r="J427" i="3"/>
  <c r="K427" i="3"/>
  <c r="L427" i="3"/>
  <c r="I428" i="3"/>
  <c r="J428" i="3"/>
  <c r="K428" i="3"/>
  <c r="L428" i="3"/>
  <c r="I429" i="3"/>
  <c r="J429" i="3"/>
  <c r="K429" i="3"/>
  <c r="L429" i="3"/>
  <c r="I430" i="3"/>
  <c r="J430" i="3"/>
  <c r="K430" i="3"/>
  <c r="L430" i="3"/>
  <c r="I431" i="3"/>
  <c r="J431" i="3"/>
  <c r="K431" i="3"/>
  <c r="L431" i="3"/>
  <c r="I432" i="3"/>
  <c r="J432" i="3"/>
  <c r="K432" i="3"/>
  <c r="L432" i="3"/>
  <c r="I433" i="3"/>
  <c r="J433" i="3"/>
  <c r="K433" i="3"/>
  <c r="L433" i="3"/>
  <c r="I434" i="3"/>
  <c r="J434" i="3"/>
  <c r="K434" i="3"/>
  <c r="L434" i="3"/>
  <c r="I435" i="3"/>
  <c r="J435" i="3"/>
  <c r="K435" i="3"/>
  <c r="L435" i="3"/>
  <c r="I436" i="3"/>
  <c r="J436" i="3"/>
  <c r="K436" i="3"/>
  <c r="L436" i="3"/>
  <c r="I437" i="3"/>
  <c r="J437" i="3"/>
  <c r="K437" i="3"/>
  <c r="L437" i="3"/>
  <c r="I438" i="3"/>
  <c r="J438" i="3"/>
  <c r="K438" i="3"/>
  <c r="L438" i="3"/>
  <c r="I439" i="3"/>
  <c r="J439" i="3"/>
  <c r="K439" i="3"/>
  <c r="L439" i="3"/>
  <c r="I440" i="3"/>
  <c r="J440" i="3"/>
  <c r="K440" i="3"/>
  <c r="L440" i="3"/>
  <c r="I441" i="3"/>
  <c r="J441" i="3"/>
  <c r="K441" i="3"/>
  <c r="L441" i="3"/>
  <c r="I442" i="3"/>
  <c r="J442" i="3"/>
  <c r="K442" i="3"/>
  <c r="L442" i="3"/>
  <c r="I443" i="3"/>
  <c r="J443" i="3"/>
  <c r="K443" i="3"/>
  <c r="L443" i="3"/>
  <c r="I444" i="3"/>
  <c r="J444" i="3"/>
  <c r="K444" i="3"/>
  <c r="L444" i="3"/>
  <c r="I445" i="3"/>
  <c r="J445" i="3"/>
  <c r="K445" i="3"/>
  <c r="L445" i="3"/>
  <c r="I446" i="3"/>
  <c r="J446" i="3"/>
  <c r="K446" i="3"/>
  <c r="L446" i="3"/>
  <c r="I447" i="3"/>
  <c r="J447" i="3"/>
  <c r="K447" i="3"/>
  <c r="L447" i="3"/>
  <c r="I448" i="3"/>
  <c r="J448" i="3"/>
  <c r="K448" i="3"/>
  <c r="L448" i="3"/>
  <c r="I449" i="3"/>
  <c r="J449" i="3"/>
  <c r="K449" i="3"/>
  <c r="L449" i="3"/>
  <c r="I450" i="3"/>
  <c r="J450" i="3"/>
  <c r="K450" i="3"/>
  <c r="L450" i="3"/>
  <c r="I451" i="3"/>
  <c r="J451" i="3"/>
  <c r="K451" i="3"/>
  <c r="L451" i="3"/>
  <c r="I452" i="3"/>
  <c r="J452" i="3"/>
  <c r="K452" i="3"/>
  <c r="L452" i="3"/>
  <c r="I453" i="3"/>
  <c r="J453" i="3"/>
  <c r="K453" i="3"/>
  <c r="L453" i="3"/>
  <c r="I454" i="3"/>
  <c r="J454" i="3"/>
  <c r="K454" i="3"/>
  <c r="L454" i="3"/>
  <c r="I455" i="3"/>
  <c r="J455" i="3"/>
  <c r="K455" i="3"/>
  <c r="L455" i="3"/>
  <c r="I456" i="3"/>
  <c r="J456" i="3"/>
  <c r="K456" i="3"/>
  <c r="L456" i="3"/>
  <c r="I457" i="3"/>
  <c r="J457" i="3"/>
  <c r="K457" i="3"/>
  <c r="L457" i="3"/>
  <c r="I458" i="3"/>
  <c r="J458" i="3"/>
  <c r="K458" i="3"/>
  <c r="L458" i="3"/>
  <c r="I459" i="3"/>
  <c r="J459" i="3"/>
  <c r="K459" i="3"/>
  <c r="L459" i="3"/>
  <c r="I460" i="3"/>
  <c r="O460" i="3" s="1"/>
  <c r="J460" i="3"/>
  <c r="K460" i="3"/>
  <c r="L460" i="3"/>
  <c r="I461" i="3"/>
  <c r="J461" i="3"/>
  <c r="K461" i="3"/>
  <c r="L461" i="3"/>
  <c r="I462" i="3"/>
  <c r="O462" i="3" s="1"/>
  <c r="J462" i="3"/>
  <c r="K462" i="3"/>
  <c r="L462" i="3"/>
  <c r="I463" i="3"/>
  <c r="J463" i="3"/>
  <c r="K463" i="3"/>
  <c r="L463" i="3"/>
  <c r="I464" i="3"/>
  <c r="O464" i="3" s="1"/>
  <c r="J464" i="3"/>
  <c r="K464" i="3"/>
  <c r="L464" i="3"/>
  <c r="I465" i="3"/>
  <c r="J465" i="3"/>
  <c r="K465" i="3"/>
  <c r="L465" i="3"/>
  <c r="I466" i="3"/>
  <c r="O466" i="3" s="1"/>
  <c r="J466" i="3"/>
  <c r="K466" i="3"/>
  <c r="L466" i="3"/>
  <c r="I467" i="3"/>
  <c r="J467" i="3"/>
  <c r="K467" i="3"/>
  <c r="L467" i="3"/>
  <c r="I468" i="3"/>
  <c r="O468" i="3" s="1"/>
  <c r="J468" i="3"/>
  <c r="K468" i="3"/>
  <c r="L468" i="3"/>
  <c r="I469" i="3"/>
  <c r="J469" i="3"/>
  <c r="K469" i="3"/>
  <c r="L469" i="3"/>
  <c r="I470" i="3"/>
  <c r="O470" i="3" s="1"/>
  <c r="J470" i="3"/>
  <c r="K470" i="3"/>
  <c r="L470" i="3"/>
  <c r="I471" i="3"/>
  <c r="J471" i="3"/>
  <c r="K471" i="3"/>
  <c r="L471" i="3"/>
  <c r="I472" i="3"/>
  <c r="O472" i="3" s="1"/>
  <c r="J472" i="3"/>
  <c r="K472" i="3"/>
  <c r="L472" i="3"/>
  <c r="I473" i="3"/>
  <c r="J473" i="3"/>
  <c r="K473" i="3"/>
  <c r="L473" i="3"/>
  <c r="I474" i="3"/>
  <c r="O474" i="3" s="1"/>
  <c r="J474" i="3"/>
  <c r="K474" i="3"/>
  <c r="L474" i="3"/>
  <c r="I475" i="3"/>
  <c r="J475" i="3"/>
  <c r="K475" i="3"/>
  <c r="L475" i="3"/>
  <c r="I476" i="3"/>
  <c r="O476" i="3" s="1"/>
  <c r="J476" i="3"/>
  <c r="K476" i="3"/>
  <c r="L476" i="3"/>
  <c r="I477" i="3"/>
  <c r="J477" i="3"/>
  <c r="K477" i="3"/>
  <c r="L477" i="3"/>
  <c r="I478" i="3"/>
  <c r="O478" i="3" s="1"/>
  <c r="J478" i="3"/>
  <c r="K478" i="3"/>
  <c r="L478" i="3"/>
  <c r="I479" i="3"/>
  <c r="J479" i="3"/>
  <c r="K479" i="3"/>
  <c r="L479" i="3"/>
  <c r="I480" i="3"/>
  <c r="O480" i="3" s="1"/>
  <c r="J480" i="3"/>
  <c r="K480" i="3"/>
  <c r="L480" i="3"/>
  <c r="I481" i="3"/>
  <c r="J481" i="3"/>
  <c r="K481" i="3"/>
  <c r="L481" i="3"/>
  <c r="I482" i="3"/>
  <c r="O482" i="3" s="1"/>
  <c r="J482" i="3"/>
  <c r="K482" i="3"/>
  <c r="L482" i="3"/>
  <c r="I483" i="3"/>
  <c r="J483" i="3"/>
  <c r="K483" i="3"/>
  <c r="L483" i="3"/>
  <c r="I484" i="3"/>
  <c r="O484" i="3" s="1"/>
  <c r="J484" i="3"/>
  <c r="K484" i="3"/>
  <c r="L484" i="3"/>
  <c r="I485" i="3"/>
  <c r="J485" i="3"/>
  <c r="K485" i="3"/>
  <c r="L485" i="3"/>
  <c r="I486" i="3"/>
  <c r="O486" i="3" s="1"/>
  <c r="J486" i="3"/>
  <c r="K486" i="3"/>
  <c r="L486" i="3"/>
  <c r="I487" i="3"/>
  <c r="J487" i="3"/>
  <c r="K487" i="3"/>
  <c r="L487" i="3"/>
  <c r="I488" i="3"/>
  <c r="O488" i="3" s="1"/>
  <c r="J488" i="3"/>
  <c r="K488" i="3"/>
  <c r="L488" i="3"/>
  <c r="I489" i="3"/>
  <c r="J489" i="3"/>
  <c r="K489" i="3"/>
  <c r="L489" i="3"/>
  <c r="I490" i="3"/>
  <c r="O490" i="3" s="1"/>
  <c r="J490" i="3"/>
  <c r="K490" i="3"/>
  <c r="L490" i="3"/>
  <c r="I491" i="3"/>
  <c r="J491" i="3"/>
  <c r="K491" i="3"/>
  <c r="L491" i="3"/>
  <c r="I492" i="3"/>
  <c r="O492" i="3" s="1"/>
  <c r="J492" i="3"/>
  <c r="K492" i="3"/>
  <c r="L492" i="3"/>
  <c r="I493" i="3"/>
  <c r="J493" i="3"/>
  <c r="L493" i="3"/>
  <c r="I494" i="3"/>
  <c r="J494" i="3"/>
  <c r="K494" i="3"/>
  <c r="L494" i="3"/>
  <c r="I495" i="3"/>
  <c r="J495" i="3"/>
  <c r="K495" i="3"/>
  <c r="L495" i="3"/>
  <c r="I496" i="3"/>
  <c r="J496" i="3"/>
  <c r="K496" i="3"/>
  <c r="L496" i="3"/>
  <c r="I497" i="3"/>
  <c r="J497" i="3"/>
  <c r="K497" i="3"/>
  <c r="L497" i="3"/>
  <c r="I498" i="3"/>
  <c r="J498" i="3"/>
  <c r="K498" i="3"/>
  <c r="L498" i="3"/>
  <c r="I499" i="3"/>
  <c r="J499" i="3"/>
  <c r="K499" i="3"/>
  <c r="L499" i="3"/>
  <c r="I500" i="3"/>
  <c r="J500" i="3"/>
  <c r="K500" i="3"/>
  <c r="L500" i="3"/>
  <c r="C11" i="12"/>
  <c r="B17" i="12"/>
  <c r="B18" i="12"/>
  <c r="B19" i="12"/>
  <c r="B20" i="12"/>
  <c r="B21" i="12"/>
  <c r="M21" i="12" s="1"/>
  <c r="B22" i="12"/>
  <c r="M22" i="12" s="1"/>
  <c r="B23" i="12"/>
  <c r="B24" i="12"/>
  <c r="M24" i="12" s="1"/>
  <c r="B25" i="12"/>
  <c r="B26" i="12"/>
  <c r="M26" i="12" s="1"/>
  <c r="B27" i="12"/>
  <c r="B28" i="12"/>
  <c r="M28" i="12" s="1"/>
  <c r="B29" i="12"/>
  <c r="B30" i="12"/>
  <c r="M30" i="12" s="1"/>
  <c r="B31" i="12"/>
  <c r="B32" i="12"/>
  <c r="B33" i="12"/>
  <c r="M33" i="12" s="1"/>
  <c r="B34" i="12"/>
  <c r="B35" i="12"/>
  <c r="B36" i="12"/>
  <c r="M36" i="12" s="1"/>
  <c r="B37" i="12"/>
  <c r="M37" i="12" s="1"/>
  <c r="B38" i="12"/>
  <c r="M38" i="12" s="1"/>
  <c r="B39" i="12"/>
  <c r="M39" i="12" s="1"/>
  <c r="B40" i="12"/>
  <c r="M40" i="12" s="1"/>
  <c r="B41" i="12"/>
  <c r="M41" i="12" s="1"/>
  <c r="B42" i="12"/>
  <c r="M42" i="12" s="1"/>
  <c r="B43" i="12"/>
  <c r="M43" i="12" s="1"/>
  <c r="B44" i="12"/>
  <c r="M44" i="12" s="1"/>
  <c r="B45" i="12"/>
  <c r="M45" i="12" s="1"/>
  <c r="B46" i="12"/>
  <c r="M46" i="12" s="1"/>
  <c r="B47" i="12"/>
  <c r="M47" i="12" s="1"/>
  <c r="B48" i="12"/>
  <c r="M48" i="12" s="1"/>
  <c r="B49" i="12"/>
  <c r="M49" i="12" s="1"/>
  <c r="B50" i="12"/>
  <c r="M50" i="12" s="1"/>
  <c r="B51" i="12"/>
  <c r="M51" i="12" s="1"/>
  <c r="B52" i="12"/>
  <c r="M52" i="12" s="1"/>
  <c r="B53" i="12"/>
  <c r="M53" i="12" s="1"/>
  <c r="B54" i="12"/>
  <c r="M54" i="12" s="1"/>
  <c r="B55" i="12"/>
  <c r="M55" i="12" s="1"/>
  <c r="B56" i="12"/>
  <c r="M56" i="12" s="1"/>
  <c r="B57" i="12"/>
  <c r="M57" i="12" s="1"/>
  <c r="B58" i="12"/>
  <c r="M58" i="12" s="1"/>
  <c r="B59" i="12"/>
  <c r="M59" i="12" s="1"/>
  <c r="B60" i="12"/>
  <c r="M60" i="12" s="1"/>
  <c r="B61" i="12"/>
  <c r="M61" i="12" s="1"/>
  <c r="B62" i="12"/>
  <c r="M62" i="12" s="1"/>
  <c r="B63" i="12"/>
  <c r="M63" i="12" s="1"/>
  <c r="B64" i="12"/>
  <c r="M64" i="12" s="1"/>
  <c r="B65" i="12"/>
  <c r="M65" i="12" s="1"/>
  <c r="B66" i="12"/>
  <c r="M66" i="12" s="1"/>
  <c r="B67" i="12"/>
  <c r="M67" i="12" s="1"/>
  <c r="B68" i="12"/>
  <c r="M68" i="12" s="1"/>
  <c r="B69" i="12"/>
  <c r="M69" i="12" s="1"/>
  <c r="B70" i="12"/>
  <c r="M70" i="12" s="1"/>
  <c r="B71" i="12"/>
  <c r="M71" i="12" s="1"/>
  <c r="B72" i="12"/>
  <c r="M72" i="12" s="1"/>
  <c r="B73" i="12"/>
  <c r="M73" i="12" s="1"/>
  <c r="B74" i="12"/>
  <c r="M74" i="12" s="1"/>
  <c r="B75" i="12"/>
  <c r="M75" i="12" s="1"/>
  <c r="B76" i="12"/>
  <c r="M76" i="12" s="1"/>
  <c r="B77" i="12"/>
  <c r="M77" i="12" s="1"/>
  <c r="B78" i="12"/>
  <c r="M78" i="12" s="1"/>
  <c r="B79" i="12"/>
  <c r="M79" i="12" s="1"/>
  <c r="B80" i="12"/>
  <c r="M80" i="12" s="1"/>
  <c r="B81" i="12"/>
  <c r="M81" i="12" s="1"/>
  <c r="B82" i="12"/>
  <c r="M82" i="12" s="1"/>
  <c r="B83" i="12"/>
  <c r="M83" i="12" s="1"/>
  <c r="B84" i="12"/>
  <c r="M84" i="12" s="1"/>
  <c r="B85" i="12"/>
  <c r="M85" i="12" s="1"/>
  <c r="B86" i="12"/>
  <c r="M86" i="12" s="1"/>
  <c r="B87" i="12"/>
  <c r="M87" i="12" s="1"/>
  <c r="B88" i="12"/>
  <c r="M88" i="12" s="1"/>
  <c r="B89" i="12"/>
  <c r="M89" i="12" s="1"/>
  <c r="B90" i="12"/>
  <c r="M90" i="12" s="1"/>
  <c r="B91" i="12"/>
  <c r="M91" i="12" s="1"/>
  <c r="B92" i="12"/>
  <c r="M92" i="12" s="1"/>
  <c r="B93" i="12"/>
  <c r="M93" i="12" s="1"/>
  <c r="B94" i="12"/>
  <c r="M94" i="12" s="1"/>
  <c r="B95" i="12"/>
  <c r="M95" i="12" s="1"/>
  <c r="B96" i="12"/>
  <c r="M96" i="12" s="1"/>
  <c r="B97" i="12"/>
  <c r="M97" i="12" s="1"/>
  <c r="B98" i="12"/>
  <c r="M98" i="12" s="1"/>
  <c r="B99" i="12"/>
  <c r="M99" i="12" s="1"/>
  <c r="B100" i="12"/>
  <c r="M100" i="12" s="1"/>
  <c r="B101" i="12"/>
  <c r="M101" i="12" s="1"/>
  <c r="B102" i="12"/>
  <c r="M102" i="12" s="1"/>
  <c r="B103" i="12"/>
  <c r="M103" i="12" s="1"/>
  <c r="B104" i="12"/>
  <c r="M104" i="12" s="1"/>
  <c r="B105" i="12"/>
  <c r="M105" i="12" s="1"/>
  <c r="B106" i="12"/>
  <c r="M106" i="12" s="1"/>
  <c r="B107" i="12"/>
  <c r="M107" i="12" s="1"/>
  <c r="B108" i="12"/>
  <c r="M108" i="12" s="1"/>
  <c r="B109" i="12"/>
  <c r="M109" i="12" s="1"/>
  <c r="B110" i="12"/>
  <c r="M110" i="12" s="1"/>
  <c r="B111" i="12"/>
  <c r="M111" i="12" s="1"/>
  <c r="B112" i="12"/>
  <c r="M112" i="12" s="1"/>
  <c r="B113" i="12"/>
  <c r="M113" i="12" s="1"/>
  <c r="B114" i="12"/>
  <c r="M114" i="12" s="1"/>
  <c r="B115" i="12"/>
  <c r="M115" i="12" s="1"/>
  <c r="B116" i="12"/>
  <c r="M116" i="12" s="1"/>
  <c r="B117" i="12"/>
  <c r="M117" i="12" s="1"/>
  <c r="B118" i="12"/>
  <c r="M118" i="12" s="1"/>
  <c r="B119" i="12"/>
  <c r="M119" i="12" s="1"/>
  <c r="B120" i="12"/>
  <c r="M120" i="12" s="1"/>
  <c r="B121" i="12"/>
  <c r="M121" i="12" s="1"/>
  <c r="B122" i="12"/>
  <c r="M122" i="12" s="1"/>
  <c r="B123" i="12"/>
  <c r="M123" i="12" s="1"/>
  <c r="B124" i="12"/>
  <c r="M124" i="12" s="1"/>
  <c r="B125" i="12"/>
  <c r="M125" i="12" s="1"/>
  <c r="B126" i="12"/>
  <c r="M126" i="12" s="1"/>
  <c r="B127" i="12"/>
  <c r="M127" i="12" s="1"/>
  <c r="B128" i="12"/>
  <c r="M128" i="12" s="1"/>
  <c r="B129" i="12"/>
  <c r="M129" i="12" s="1"/>
  <c r="B130" i="12"/>
  <c r="M130" i="12" s="1"/>
  <c r="B131" i="12"/>
  <c r="M131" i="12" s="1"/>
  <c r="B132" i="12"/>
  <c r="M132" i="12" s="1"/>
  <c r="B133" i="12"/>
  <c r="M133" i="12" s="1"/>
  <c r="B134" i="12"/>
  <c r="M134" i="12" s="1"/>
  <c r="B135" i="12"/>
  <c r="M135" i="12" s="1"/>
  <c r="B136" i="12"/>
  <c r="M136" i="12" s="1"/>
  <c r="B137" i="12"/>
  <c r="M137" i="12" s="1"/>
  <c r="B138" i="12"/>
  <c r="M138" i="12" s="1"/>
  <c r="B139" i="12"/>
  <c r="M139" i="12" s="1"/>
  <c r="B140" i="12"/>
  <c r="M140" i="12" s="1"/>
  <c r="B141" i="12"/>
  <c r="M141" i="12" s="1"/>
  <c r="B142" i="12"/>
  <c r="M142" i="12" s="1"/>
  <c r="B143" i="12"/>
  <c r="M143" i="12" s="1"/>
  <c r="B144" i="12"/>
  <c r="M144" i="12" s="1"/>
  <c r="B145" i="12"/>
  <c r="M145" i="12" s="1"/>
  <c r="B146" i="12"/>
  <c r="M146" i="12" s="1"/>
  <c r="B147" i="12"/>
  <c r="M147" i="12" s="1"/>
  <c r="B148" i="12"/>
  <c r="M148" i="12" s="1"/>
  <c r="B149" i="12"/>
  <c r="M149" i="12" s="1"/>
  <c r="B150" i="12"/>
  <c r="M150" i="12" s="1"/>
  <c r="B151" i="12"/>
  <c r="M151" i="12" s="1"/>
  <c r="B152" i="12"/>
  <c r="M152" i="12" s="1"/>
  <c r="B153" i="12"/>
  <c r="M153" i="12" s="1"/>
  <c r="B154" i="12"/>
  <c r="M154" i="12" s="1"/>
  <c r="B155" i="12"/>
  <c r="M155" i="12" s="1"/>
  <c r="B156" i="12"/>
  <c r="M156" i="12" s="1"/>
  <c r="B157" i="12"/>
  <c r="M157" i="12" s="1"/>
  <c r="B158" i="12"/>
  <c r="M158" i="12" s="1"/>
  <c r="B159" i="12"/>
  <c r="M159" i="12" s="1"/>
  <c r="B160" i="12"/>
  <c r="M160" i="12" s="1"/>
  <c r="B161" i="12"/>
  <c r="M161" i="12" s="1"/>
  <c r="B162" i="12"/>
  <c r="M162" i="12" s="1"/>
  <c r="B163" i="12"/>
  <c r="M163" i="12" s="1"/>
  <c r="B164" i="12"/>
  <c r="M164" i="12" s="1"/>
  <c r="B165" i="12"/>
  <c r="M165" i="12" s="1"/>
  <c r="B166" i="12"/>
  <c r="M166" i="12" s="1"/>
  <c r="B167" i="12"/>
  <c r="M167" i="12" s="1"/>
  <c r="B168" i="12"/>
  <c r="M168" i="12" s="1"/>
  <c r="B169" i="12"/>
  <c r="M169" i="12" s="1"/>
  <c r="B170" i="12"/>
  <c r="M170" i="12" s="1"/>
  <c r="B171" i="12"/>
  <c r="M171" i="12" s="1"/>
  <c r="B172" i="12"/>
  <c r="M172" i="12" s="1"/>
  <c r="B173" i="12"/>
  <c r="M173" i="12" s="1"/>
  <c r="B174" i="12"/>
  <c r="M174" i="12" s="1"/>
  <c r="B175" i="12"/>
  <c r="M175" i="12" s="1"/>
  <c r="B176" i="12"/>
  <c r="M176" i="12" s="1"/>
  <c r="B177" i="12"/>
  <c r="M177" i="12" s="1"/>
  <c r="B178" i="12"/>
  <c r="M178" i="12" s="1"/>
  <c r="B179" i="12"/>
  <c r="M179" i="12" s="1"/>
  <c r="B180" i="12"/>
  <c r="M180" i="12" s="1"/>
  <c r="B181" i="12"/>
  <c r="M181" i="12" s="1"/>
  <c r="B182" i="12"/>
  <c r="M182" i="12" s="1"/>
  <c r="B183" i="12"/>
  <c r="M183" i="12" s="1"/>
  <c r="B184" i="12"/>
  <c r="M184" i="12" s="1"/>
  <c r="B185" i="12"/>
  <c r="M185" i="12" s="1"/>
  <c r="B186" i="12"/>
  <c r="M186" i="12" s="1"/>
  <c r="B187" i="12"/>
  <c r="M187" i="12" s="1"/>
  <c r="B188" i="12"/>
  <c r="M188" i="12" s="1"/>
  <c r="B189" i="12"/>
  <c r="M189" i="12" s="1"/>
  <c r="B190" i="12"/>
  <c r="M190" i="12" s="1"/>
  <c r="B191" i="12"/>
  <c r="M191" i="12" s="1"/>
  <c r="B192" i="12"/>
  <c r="M192" i="12" s="1"/>
  <c r="B193" i="12"/>
  <c r="M193" i="12" s="1"/>
  <c r="B194" i="12"/>
  <c r="M194" i="12" s="1"/>
  <c r="B195" i="12"/>
  <c r="M195" i="12" s="1"/>
  <c r="B196" i="12"/>
  <c r="M196" i="12" s="1"/>
  <c r="B197" i="12"/>
  <c r="M197" i="12" s="1"/>
  <c r="B198" i="12"/>
  <c r="M198" i="12" s="1"/>
  <c r="B199" i="12"/>
  <c r="M199" i="12" s="1"/>
  <c r="B200" i="12"/>
  <c r="M200" i="12" s="1"/>
  <c r="B201" i="12"/>
  <c r="M201" i="12" s="1"/>
  <c r="B202" i="12"/>
  <c r="M202" i="12" s="1"/>
  <c r="B203" i="12"/>
  <c r="M203" i="12" s="1"/>
  <c r="B204" i="12"/>
  <c r="M204" i="12" s="1"/>
  <c r="B205" i="12"/>
  <c r="M205" i="12" s="1"/>
  <c r="B206" i="12"/>
  <c r="M206" i="12" s="1"/>
  <c r="B207" i="12"/>
  <c r="M207" i="12" s="1"/>
  <c r="B208" i="12"/>
  <c r="M208" i="12" s="1"/>
  <c r="B209" i="12"/>
  <c r="M209" i="12" s="1"/>
  <c r="B210" i="12"/>
  <c r="M210" i="12" s="1"/>
  <c r="B211" i="12"/>
  <c r="M211" i="12" s="1"/>
  <c r="B212" i="12"/>
  <c r="M212" i="12" s="1"/>
  <c r="B213" i="12"/>
  <c r="M213" i="12" s="1"/>
  <c r="B214" i="12"/>
  <c r="M214" i="12" s="1"/>
  <c r="B215" i="12"/>
  <c r="M215" i="12" s="1"/>
  <c r="B216" i="12"/>
  <c r="M216" i="12" s="1"/>
  <c r="B217" i="12"/>
  <c r="M217" i="12" s="1"/>
  <c r="B218" i="12"/>
  <c r="M218" i="12" s="1"/>
  <c r="B219" i="12"/>
  <c r="M219" i="12" s="1"/>
  <c r="B220" i="12"/>
  <c r="M220" i="12" s="1"/>
  <c r="B221" i="12"/>
  <c r="M221" i="12" s="1"/>
  <c r="B222" i="12"/>
  <c r="M222" i="12" s="1"/>
  <c r="B223" i="12"/>
  <c r="M223" i="12" s="1"/>
  <c r="B224" i="12"/>
  <c r="M224" i="12" s="1"/>
  <c r="B225" i="12"/>
  <c r="M225" i="12" s="1"/>
  <c r="B226" i="12"/>
  <c r="M226" i="12" s="1"/>
  <c r="B227" i="12"/>
  <c r="M227" i="12" s="1"/>
  <c r="B228" i="12"/>
  <c r="M228" i="12" s="1"/>
  <c r="B229" i="12"/>
  <c r="M229" i="12" s="1"/>
  <c r="B230" i="12"/>
  <c r="M230" i="12" s="1"/>
  <c r="B231" i="12"/>
  <c r="M231" i="12" s="1"/>
  <c r="B232" i="12"/>
  <c r="M232" i="12" s="1"/>
  <c r="B233" i="12"/>
  <c r="M233" i="12" s="1"/>
  <c r="B234" i="12"/>
  <c r="M234" i="12" s="1"/>
  <c r="B235" i="12"/>
  <c r="M235" i="12" s="1"/>
  <c r="B236" i="12"/>
  <c r="M236" i="12" s="1"/>
  <c r="B237" i="12"/>
  <c r="M237" i="12" s="1"/>
  <c r="B238" i="12"/>
  <c r="M238" i="12" s="1"/>
  <c r="B239" i="12"/>
  <c r="M239" i="12" s="1"/>
  <c r="B240" i="12"/>
  <c r="M240" i="12" s="1"/>
  <c r="B241" i="12"/>
  <c r="M241" i="12" s="1"/>
  <c r="B242" i="12"/>
  <c r="M242" i="12" s="1"/>
  <c r="B243" i="12"/>
  <c r="M243" i="12" s="1"/>
  <c r="B244" i="12"/>
  <c r="M244" i="12" s="1"/>
  <c r="B245" i="12"/>
  <c r="M245" i="12" s="1"/>
  <c r="B246" i="12"/>
  <c r="M246" i="12" s="1"/>
  <c r="B247" i="12"/>
  <c r="M247" i="12" s="1"/>
  <c r="B248" i="12"/>
  <c r="M248" i="12" s="1"/>
  <c r="B249" i="12"/>
  <c r="M249" i="12" s="1"/>
  <c r="B250" i="12"/>
  <c r="M250" i="12" s="1"/>
  <c r="B251" i="12"/>
  <c r="M251" i="12" s="1"/>
  <c r="B252" i="12"/>
  <c r="M252" i="12" s="1"/>
  <c r="B253" i="12"/>
  <c r="M253" i="12" s="1"/>
  <c r="B254" i="12"/>
  <c r="M254" i="12" s="1"/>
  <c r="B255" i="12"/>
  <c r="M255" i="12" s="1"/>
  <c r="B256" i="12"/>
  <c r="M256" i="12" s="1"/>
  <c r="B257" i="12"/>
  <c r="M257" i="12" s="1"/>
  <c r="B258" i="12"/>
  <c r="M258" i="12" s="1"/>
  <c r="B259" i="12"/>
  <c r="M259" i="12" s="1"/>
  <c r="B260" i="12"/>
  <c r="M260" i="12" s="1"/>
  <c r="B261" i="12"/>
  <c r="M261" i="12" s="1"/>
  <c r="B262" i="12"/>
  <c r="M262" i="12" s="1"/>
  <c r="B263" i="12"/>
  <c r="M263" i="12" s="1"/>
  <c r="B264" i="12"/>
  <c r="M264" i="12" s="1"/>
  <c r="B265" i="12"/>
  <c r="M265" i="12" s="1"/>
  <c r="B266" i="12"/>
  <c r="M266" i="12" s="1"/>
  <c r="B267" i="12"/>
  <c r="M267" i="12" s="1"/>
  <c r="B268" i="12"/>
  <c r="M268" i="12" s="1"/>
  <c r="B269" i="12"/>
  <c r="M269" i="12" s="1"/>
  <c r="B270" i="12"/>
  <c r="M270" i="12" s="1"/>
  <c r="B271" i="12"/>
  <c r="M271" i="12" s="1"/>
  <c r="B272" i="12"/>
  <c r="M272" i="12" s="1"/>
  <c r="B273" i="12"/>
  <c r="M273" i="12" s="1"/>
  <c r="B274" i="12"/>
  <c r="M274" i="12" s="1"/>
  <c r="B275" i="12"/>
  <c r="M275" i="12" s="1"/>
  <c r="B276" i="12"/>
  <c r="M276" i="12" s="1"/>
  <c r="B277" i="12"/>
  <c r="M277" i="12" s="1"/>
  <c r="B278" i="12"/>
  <c r="M278" i="12" s="1"/>
  <c r="B279" i="12"/>
  <c r="M279" i="12" s="1"/>
  <c r="B280" i="12"/>
  <c r="M280" i="12" s="1"/>
  <c r="B281" i="12"/>
  <c r="M281" i="12" s="1"/>
  <c r="B282" i="12"/>
  <c r="M282" i="12" s="1"/>
  <c r="B283" i="12"/>
  <c r="M283" i="12" s="1"/>
  <c r="B284" i="12"/>
  <c r="M284" i="12" s="1"/>
  <c r="B285" i="12"/>
  <c r="M285" i="12" s="1"/>
  <c r="B286" i="12"/>
  <c r="M286" i="12" s="1"/>
  <c r="B287" i="12"/>
  <c r="M287" i="12" s="1"/>
  <c r="B288" i="12"/>
  <c r="M288" i="12" s="1"/>
  <c r="B289" i="12"/>
  <c r="M289" i="12" s="1"/>
  <c r="B290" i="12"/>
  <c r="M290" i="12" s="1"/>
  <c r="B291" i="12"/>
  <c r="M291" i="12" s="1"/>
  <c r="B292" i="12"/>
  <c r="M292" i="12" s="1"/>
  <c r="B293" i="12"/>
  <c r="M293" i="12" s="1"/>
  <c r="B294" i="12"/>
  <c r="M294" i="12" s="1"/>
  <c r="B295" i="12"/>
  <c r="M295" i="12" s="1"/>
  <c r="B296" i="12"/>
  <c r="M296" i="12" s="1"/>
  <c r="B297" i="12"/>
  <c r="M297" i="12" s="1"/>
  <c r="B298" i="12"/>
  <c r="M298" i="12" s="1"/>
  <c r="B299" i="12"/>
  <c r="M299" i="12" s="1"/>
  <c r="B300" i="12"/>
  <c r="M300" i="12" s="1"/>
  <c r="B301" i="12"/>
  <c r="M301" i="12" s="1"/>
  <c r="B302" i="12"/>
  <c r="M302" i="12" s="1"/>
  <c r="B303" i="12"/>
  <c r="M303" i="12" s="1"/>
  <c r="B304" i="12"/>
  <c r="M304" i="12" s="1"/>
  <c r="B305" i="12"/>
  <c r="M305" i="12" s="1"/>
  <c r="B306" i="12"/>
  <c r="M306" i="12" s="1"/>
  <c r="B307" i="12"/>
  <c r="M307" i="12" s="1"/>
  <c r="B308" i="12"/>
  <c r="M308" i="12" s="1"/>
  <c r="B309" i="12"/>
  <c r="M309" i="12" s="1"/>
  <c r="B310" i="12"/>
  <c r="M310" i="12" s="1"/>
  <c r="B311" i="12"/>
  <c r="M311" i="12" s="1"/>
  <c r="B312" i="12"/>
  <c r="M312" i="12" s="1"/>
  <c r="B313" i="12"/>
  <c r="M313" i="12" s="1"/>
  <c r="B314" i="12"/>
  <c r="M314" i="12" s="1"/>
  <c r="B315" i="12"/>
  <c r="M315" i="12" s="1"/>
  <c r="B316" i="12"/>
  <c r="M316" i="12" s="1"/>
  <c r="B317" i="12"/>
  <c r="M317" i="12" s="1"/>
  <c r="B318" i="12"/>
  <c r="M318" i="12" s="1"/>
  <c r="B319" i="12"/>
  <c r="M319" i="12" s="1"/>
  <c r="B320" i="12"/>
  <c r="M320" i="12" s="1"/>
  <c r="B321" i="12"/>
  <c r="M321" i="12" s="1"/>
  <c r="B322" i="12"/>
  <c r="M322" i="12" s="1"/>
  <c r="B323" i="12"/>
  <c r="M323" i="12" s="1"/>
  <c r="B324" i="12"/>
  <c r="M324" i="12" s="1"/>
  <c r="B325" i="12"/>
  <c r="M325" i="12" s="1"/>
  <c r="B326" i="12"/>
  <c r="M326" i="12" s="1"/>
  <c r="B327" i="12"/>
  <c r="M327" i="12" s="1"/>
  <c r="B328" i="12"/>
  <c r="M328" i="12" s="1"/>
  <c r="B329" i="12"/>
  <c r="M329" i="12" s="1"/>
  <c r="B330" i="12"/>
  <c r="M330" i="12" s="1"/>
  <c r="B331" i="12"/>
  <c r="M331" i="12" s="1"/>
  <c r="B332" i="12"/>
  <c r="M332" i="12" s="1"/>
  <c r="B333" i="12"/>
  <c r="M333" i="12" s="1"/>
  <c r="B334" i="12"/>
  <c r="M334" i="12" s="1"/>
  <c r="B335" i="12"/>
  <c r="M335" i="12" s="1"/>
  <c r="B336" i="12"/>
  <c r="M336" i="12" s="1"/>
  <c r="B337" i="12"/>
  <c r="M337" i="12" s="1"/>
  <c r="B338" i="12"/>
  <c r="M338" i="12" s="1"/>
  <c r="B339" i="12"/>
  <c r="M339" i="12" s="1"/>
  <c r="B340" i="12"/>
  <c r="M340" i="12" s="1"/>
  <c r="B341" i="12"/>
  <c r="M341" i="12" s="1"/>
  <c r="B342" i="12"/>
  <c r="M342" i="12" s="1"/>
  <c r="B343" i="12"/>
  <c r="M343" i="12" s="1"/>
  <c r="B344" i="12"/>
  <c r="M344" i="12" s="1"/>
  <c r="B345" i="12"/>
  <c r="M345" i="12" s="1"/>
  <c r="B346" i="12"/>
  <c r="M346" i="12" s="1"/>
  <c r="B347" i="12"/>
  <c r="M347" i="12" s="1"/>
  <c r="B348" i="12"/>
  <c r="M348" i="12" s="1"/>
  <c r="B349" i="12"/>
  <c r="M349" i="12" s="1"/>
  <c r="B350" i="12"/>
  <c r="M350" i="12" s="1"/>
  <c r="B351" i="12"/>
  <c r="M351" i="12" s="1"/>
  <c r="B352" i="12"/>
  <c r="M352" i="12" s="1"/>
  <c r="B353" i="12"/>
  <c r="M353" i="12" s="1"/>
  <c r="B354" i="12"/>
  <c r="M354" i="12" s="1"/>
  <c r="B355" i="12"/>
  <c r="M355" i="12" s="1"/>
  <c r="B356" i="12"/>
  <c r="M356" i="12" s="1"/>
  <c r="B357" i="12"/>
  <c r="M357" i="12" s="1"/>
  <c r="B358" i="12"/>
  <c r="M358" i="12" s="1"/>
  <c r="B359" i="12"/>
  <c r="M359" i="12" s="1"/>
  <c r="B360" i="12"/>
  <c r="M360" i="12" s="1"/>
  <c r="B361" i="12"/>
  <c r="M361" i="12" s="1"/>
  <c r="B362" i="12"/>
  <c r="M362" i="12" s="1"/>
  <c r="B363" i="12"/>
  <c r="M363" i="12" s="1"/>
  <c r="B364" i="12"/>
  <c r="M364" i="12" s="1"/>
  <c r="B365" i="12"/>
  <c r="M365" i="12" s="1"/>
  <c r="B366" i="12"/>
  <c r="M366" i="12" s="1"/>
  <c r="B367" i="12"/>
  <c r="M367" i="12" s="1"/>
  <c r="B368" i="12"/>
  <c r="M368" i="12" s="1"/>
  <c r="B369" i="12"/>
  <c r="M369" i="12" s="1"/>
  <c r="B370" i="12"/>
  <c r="M370" i="12" s="1"/>
  <c r="B371" i="12"/>
  <c r="M371" i="12" s="1"/>
  <c r="B372" i="12"/>
  <c r="M372" i="12" s="1"/>
  <c r="B373" i="12"/>
  <c r="M373" i="12" s="1"/>
  <c r="B374" i="12"/>
  <c r="M374" i="12" s="1"/>
  <c r="B375" i="12"/>
  <c r="M375" i="12" s="1"/>
  <c r="B376" i="12"/>
  <c r="M376" i="12" s="1"/>
  <c r="B377" i="12"/>
  <c r="M377" i="12" s="1"/>
  <c r="B378" i="12"/>
  <c r="M378" i="12" s="1"/>
  <c r="B379" i="12"/>
  <c r="M379" i="12" s="1"/>
  <c r="B380" i="12"/>
  <c r="M380" i="12" s="1"/>
  <c r="B381" i="12"/>
  <c r="M381" i="12" s="1"/>
  <c r="B382" i="12"/>
  <c r="M382" i="12" s="1"/>
  <c r="B383" i="12"/>
  <c r="M383" i="12" s="1"/>
  <c r="B384" i="12"/>
  <c r="M384" i="12" s="1"/>
  <c r="B385" i="12"/>
  <c r="M385" i="12" s="1"/>
  <c r="B386" i="12"/>
  <c r="M386" i="12" s="1"/>
  <c r="B387" i="12"/>
  <c r="M387" i="12" s="1"/>
  <c r="B388" i="12"/>
  <c r="M388" i="12" s="1"/>
  <c r="B389" i="12"/>
  <c r="M389" i="12" s="1"/>
  <c r="B390" i="12"/>
  <c r="M390" i="12" s="1"/>
  <c r="B391" i="12"/>
  <c r="M391" i="12" s="1"/>
  <c r="B392" i="12"/>
  <c r="M392" i="12" s="1"/>
  <c r="B393" i="12"/>
  <c r="M393" i="12" s="1"/>
  <c r="B394" i="12"/>
  <c r="M394" i="12" s="1"/>
  <c r="B395" i="12"/>
  <c r="M395" i="12" s="1"/>
  <c r="B396" i="12"/>
  <c r="M396" i="12" s="1"/>
  <c r="B397" i="12"/>
  <c r="M397" i="12" s="1"/>
  <c r="B398" i="12"/>
  <c r="M398" i="12" s="1"/>
  <c r="B399" i="12"/>
  <c r="M399" i="12" s="1"/>
  <c r="B400" i="12"/>
  <c r="M400" i="12" s="1"/>
  <c r="B401" i="12"/>
  <c r="M401" i="12" s="1"/>
  <c r="B402" i="12"/>
  <c r="M402" i="12" s="1"/>
  <c r="B403" i="12"/>
  <c r="M403" i="12" s="1"/>
  <c r="B404" i="12"/>
  <c r="M404" i="12" s="1"/>
  <c r="B405" i="12"/>
  <c r="M405" i="12" s="1"/>
  <c r="B406" i="12"/>
  <c r="M406" i="12" s="1"/>
  <c r="B407" i="12"/>
  <c r="M407" i="12" s="1"/>
  <c r="B408" i="12"/>
  <c r="M408" i="12" s="1"/>
  <c r="B409" i="12"/>
  <c r="M409" i="12" s="1"/>
  <c r="B410" i="12"/>
  <c r="M410" i="12" s="1"/>
  <c r="B411" i="12"/>
  <c r="M411" i="12" s="1"/>
  <c r="B412" i="12"/>
  <c r="M412" i="12" s="1"/>
  <c r="B413" i="12"/>
  <c r="M413" i="12" s="1"/>
  <c r="B414" i="12"/>
  <c r="M414" i="12" s="1"/>
  <c r="B415" i="12"/>
  <c r="M415" i="12" s="1"/>
  <c r="B416" i="12"/>
  <c r="M416" i="12" s="1"/>
  <c r="B417" i="12"/>
  <c r="M417" i="12" s="1"/>
  <c r="B418" i="12"/>
  <c r="M418" i="12" s="1"/>
  <c r="B419" i="12"/>
  <c r="M419" i="12" s="1"/>
  <c r="B420" i="12"/>
  <c r="M420" i="12" s="1"/>
  <c r="B421" i="12"/>
  <c r="M421" i="12" s="1"/>
  <c r="B422" i="12"/>
  <c r="M422" i="12" s="1"/>
  <c r="B423" i="12"/>
  <c r="M423" i="12" s="1"/>
  <c r="B424" i="12"/>
  <c r="M424" i="12" s="1"/>
  <c r="B425" i="12"/>
  <c r="M425" i="12" s="1"/>
  <c r="B426" i="12"/>
  <c r="M426" i="12" s="1"/>
  <c r="B427" i="12"/>
  <c r="M427" i="12" s="1"/>
  <c r="B428" i="12"/>
  <c r="M428" i="12" s="1"/>
  <c r="B429" i="12"/>
  <c r="M429" i="12" s="1"/>
  <c r="B430" i="12"/>
  <c r="M430" i="12" s="1"/>
  <c r="B431" i="12"/>
  <c r="M431" i="12" s="1"/>
  <c r="B432" i="12"/>
  <c r="M432" i="12" s="1"/>
  <c r="B433" i="12"/>
  <c r="M433" i="12" s="1"/>
  <c r="B434" i="12"/>
  <c r="M434" i="12" s="1"/>
  <c r="B435" i="12"/>
  <c r="M435" i="12" s="1"/>
  <c r="B436" i="12"/>
  <c r="M436" i="12" s="1"/>
  <c r="B437" i="12"/>
  <c r="M437" i="12" s="1"/>
  <c r="B438" i="12"/>
  <c r="M438" i="12" s="1"/>
  <c r="B439" i="12"/>
  <c r="M439" i="12" s="1"/>
  <c r="B440" i="12"/>
  <c r="M440" i="12" s="1"/>
  <c r="B441" i="12"/>
  <c r="M441" i="12" s="1"/>
  <c r="B442" i="12"/>
  <c r="M442" i="12" s="1"/>
  <c r="B443" i="12"/>
  <c r="M443" i="12" s="1"/>
  <c r="B444" i="12"/>
  <c r="M444" i="12" s="1"/>
  <c r="B445" i="12"/>
  <c r="M445" i="12" s="1"/>
  <c r="B446" i="12"/>
  <c r="M446" i="12" s="1"/>
  <c r="B447" i="12"/>
  <c r="M447" i="12" s="1"/>
  <c r="B448" i="12"/>
  <c r="M448" i="12" s="1"/>
  <c r="B449" i="12"/>
  <c r="M449" i="12" s="1"/>
  <c r="B450" i="12"/>
  <c r="M450" i="12" s="1"/>
  <c r="B451" i="12"/>
  <c r="M451" i="12" s="1"/>
  <c r="B452" i="12"/>
  <c r="M452" i="12" s="1"/>
  <c r="B453" i="12"/>
  <c r="M453" i="12" s="1"/>
  <c r="B454" i="12"/>
  <c r="M454" i="12" s="1"/>
  <c r="B455" i="12"/>
  <c r="M455" i="12" s="1"/>
  <c r="B456" i="12"/>
  <c r="M456" i="12" s="1"/>
  <c r="B457" i="12"/>
  <c r="M457" i="12" s="1"/>
  <c r="B458" i="12"/>
  <c r="M458" i="12" s="1"/>
  <c r="B459" i="12"/>
  <c r="M459" i="12" s="1"/>
  <c r="B460" i="12"/>
  <c r="M460" i="12" s="1"/>
  <c r="B461" i="12"/>
  <c r="M461" i="12" s="1"/>
  <c r="B462" i="12"/>
  <c r="M462" i="12" s="1"/>
  <c r="B463" i="12"/>
  <c r="M463" i="12" s="1"/>
  <c r="B464" i="12"/>
  <c r="M464" i="12" s="1"/>
  <c r="B465" i="12"/>
  <c r="M465" i="12" s="1"/>
  <c r="B466" i="12"/>
  <c r="M466" i="12" s="1"/>
  <c r="B467" i="12"/>
  <c r="M467" i="12" s="1"/>
  <c r="B468" i="12"/>
  <c r="M468" i="12" s="1"/>
  <c r="B469" i="12"/>
  <c r="M469" i="12" s="1"/>
  <c r="B470" i="12"/>
  <c r="M470" i="12" s="1"/>
  <c r="B471" i="12"/>
  <c r="M471" i="12" s="1"/>
  <c r="B472" i="12"/>
  <c r="M472" i="12" s="1"/>
  <c r="B473" i="12"/>
  <c r="M473" i="12" s="1"/>
  <c r="B474" i="12"/>
  <c r="M474" i="12" s="1"/>
  <c r="B475" i="12"/>
  <c r="M475" i="12" s="1"/>
  <c r="B476" i="12"/>
  <c r="M476" i="12" s="1"/>
  <c r="B477" i="12"/>
  <c r="M477" i="12" s="1"/>
  <c r="B478" i="12"/>
  <c r="M478" i="12" s="1"/>
  <c r="B479" i="12"/>
  <c r="M479" i="12" s="1"/>
  <c r="B480" i="12"/>
  <c r="M480" i="12" s="1"/>
  <c r="B481" i="12"/>
  <c r="M481" i="12" s="1"/>
  <c r="B482" i="12"/>
  <c r="M482" i="12" s="1"/>
  <c r="B483" i="12"/>
  <c r="M483" i="12" s="1"/>
  <c r="B484" i="12"/>
  <c r="M484" i="12" s="1"/>
  <c r="B485" i="12"/>
  <c r="M485" i="12" s="1"/>
  <c r="B486" i="12"/>
  <c r="M486" i="12" s="1"/>
  <c r="B487" i="12"/>
  <c r="M487" i="12" s="1"/>
  <c r="B488" i="12"/>
  <c r="M488" i="12" s="1"/>
  <c r="B489" i="12"/>
  <c r="M489" i="12" s="1"/>
  <c r="B490" i="12"/>
  <c r="M490" i="12" s="1"/>
  <c r="B491" i="12"/>
  <c r="M491" i="12" s="1"/>
  <c r="B492" i="12"/>
  <c r="M492" i="12" s="1"/>
  <c r="B493" i="12"/>
  <c r="M493" i="12" s="1"/>
  <c r="B494" i="12"/>
  <c r="M494" i="12" s="1"/>
  <c r="B495" i="12"/>
  <c r="M495" i="12" s="1"/>
  <c r="B496" i="12"/>
  <c r="M496" i="12" s="1"/>
  <c r="B497" i="12"/>
  <c r="M497" i="12" s="1"/>
  <c r="B498" i="12"/>
  <c r="M498" i="12" s="1"/>
  <c r="B499" i="12"/>
  <c r="M499" i="12" s="1"/>
  <c r="B500" i="12"/>
  <c r="M500" i="12" s="1"/>
  <c r="O14" i="15"/>
  <c r="O15" i="15"/>
  <c r="O16" i="15"/>
  <c r="O17" i="15"/>
  <c r="O18" i="15"/>
  <c r="O19" i="15"/>
  <c r="O20" i="15"/>
  <c r="O21" i="15"/>
  <c r="O13" i="15"/>
  <c r="N30" i="15"/>
  <c r="N26" i="15"/>
  <c r="N21" i="15"/>
  <c r="N20" i="15"/>
  <c r="N19" i="15"/>
  <c r="N18" i="15"/>
  <c r="N17" i="15"/>
  <c r="N16" i="15"/>
  <c r="N15" i="15"/>
  <c r="N14" i="15"/>
  <c r="N13" i="15"/>
  <c r="C9" i="12"/>
  <c r="D9" i="12"/>
  <c r="C10" i="12"/>
  <c r="D10" i="12"/>
  <c r="D11" i="12"/>
  <c r="C12" i="12"/>
  <c r="D12" i="12"/>
  <c r="C13" i="12"/>
  <c r="D13" i="12"/>
  <c r="G13" i="12"/>
  <c r="C14" i="12"/>
  <c r="D14" i="12"/>
  <c r="G14" i="12"/>
  <c r="C15" i="12"/>
  <c r="D15" i="12"/>
  <c r="G15" i="12"/>
  <c r="C16" i="12"/>
  <c r="D16" i="12"/>
  <c r="G16" i="12"/>
  <c r="C17" i="12"/>
  <c r="D17" i="12"/>
  <c r="G17" i="12"/>
  <c r="C18" i="12"/>
  <c r="D18" i="12"/>
  <c r="G18" i="12"/>
  <c r="C19" i="12"/>
  <c r="D19" i="12"/>
  <c r="G19" i="12"/>
  <c r="C20" i="12"/>
  <c r="D20" i="12"/>
  <c r="G20" i="12"/>
  <c r="C21" i="12"/>
  <c r="D21" i="12"/>
  <c r="G21" i="12"/>
  <c r="C22" i="12"/>
  <c r="D22" i="12"/>
  <c r="G22" i="12"/>
  <c r="C23" i="12"/>
  <c r="D23" i="12"/>
  <c r="G23" i="12"/>
  <c r="C24" i="12"/>
  <c r="D24" i="12"/>
  <c r="G24" i="12"/>
  <c r="C25" i="12"/>
  <c r="D25" i="12"/>
  <c r="G25" i="12"/>
  <c r="C26" i="12"/>
  <c r="D26" i="12"/>
  <c r="G26" i="12"/>
  <c r="C27" i="12"/>
  <c r="D27" i="12"/>
  <c r="G27" i="12"/>
  <c r="C28" i="12"/>
  <c r="D28" i="12"/>
  <c r="G28" i="12"/>
  <c r="C29" i="12"/>
  <c r="D29" i="12"/>
  <c r="G29" i="12"/>
  <c r="C30" i="12"/>
  <c r="D30" i="12"/>
  <c r="G30" i="12"/>
  <c r="C31" i="12"/>
  <c r="D31" i="12"/>
  <c r="G31" i="12"/>
  <c r="C32" i="12"/>
  <c r="D32" i="12"/>
  <c r="G32" i="12"/>
  <c r="C33" i="12"/>
  <c r="D33" i="12"/>
  <c r="G33" i="12"/>
  <c r="C34" i="12"/>
  <c r="D34" i="12"/>
  <c r="G34" i="12"/>
  <c r="C35" i="12"/>
  <c r="D35" i="12"/>
  <c r="G35" i="12"/>
  <c r="C36" i="12"/>
  <c r="D36" i="12"/>
  <c r="E36" i="12"/>
  <c r="G36" i="12"/>
  <c r="C37" i="12"/>
  <c r="D37" i="12"/>
  <c r="G37" i="12"/>
  <c r="C38" i="12"/>
  <c r="D38" i="12"/>
  <c r="E38" i="12"/>
  <c r="G38" i="12"/>
  <c r="C39" i="12"/>
  <c r="D39" i="12"/>
  <c r="E39" i="12"/>
  <c r="G39" i="12"/>
  <c r="C40" i="12"/>
  <c r="D40" i="12"/>
  <c r="E40" i="12"/>
  <c r="G40" i="12"/>
  <c r="C41" i="12"/>
  <c r="D41" i="12"/>
  <c r="E41" i="12"/>
  <c r="G41" i="12"/>
  <c r="C42" i="12"/>
  <c r="D42" i="12"/>
  <c r="G42" i="12"/>
  <c r="C43" i="12"/>
  <c r="D43" i="12"/>
  <c r="E43" i="12"/>
  <c r="G43" i="12"/>
  <c r="C44" i="12"/>
  <c r="D44" i="12"/>
  <c r="E44" i="12"/>
  <c r="G44" i="12"/>
  <c r="C45" i="12"/>
  <c r="D45" i="12"/>
  <c r="G45" i="12"/>
  <c r="C46" i="12"/>
  <c r="D46" i="12"/>
  <c r="E46" i="12"/>
  <c r="G46" i="12"/>
  <c r="C47" i="12"/>
  <c r="D47" i="12"/>
  <c r="E47" i="12"/>
  <c r="G47" i="12"/>
  <c r="C48" i="12"/>
  <c r="D48" i="12"/>
  <c r="E48" i="12"/>
  <c r="G48" i="12"/>
  <c r="C49" i="12"/>
  <c r="D49" i="12"/>
  <c r="E49" i="12"/>
  <c r="G49" i="12"/>
  <c r="C50" i="12"/>
  <c r="D50" i="12"/>
  <c r="E50" i="12"/>
  <c r="G50" i="12"/>
  <c r="C51" i="12"/>
  <c r="D51" i="12"/>
  <c r="E51" i="12"/>
  <c r="G51" i="12"/>
  <c r="C52" i="12"/>
  <c r="D52" i="12"/>
  <c r="E52" i="12"/>
  <c r="G52" i="12"/>
  <c r="C53" i="12"/>
  <c r="D53" i="12"/>
  <c r="E53" i="12"/>
  <c r="G53" i="12"/>
  <c r="C54" i="12"/>
  <c r="D54" i="12"/>
  <c r="E54" i="12"/>
  <c r="G54" i="12"/>
  <c r="C55" i="12"/>
  <c r="D55" i="12"/>
  <c r="E55" i="12"/>
  <c r="G55" i="12"/>
  <c r="C56" i="12"/>
  <c r="D56" i="12"/>
  <c r="E56" i="12"/>
  <c r="G56" i="12"/>
  <c r="C57" i="12"/>
  <c r="D57" i="12"/>
  <c r="E57" i="12"/>
  <c r="G57" i="12"/>
  <c r="C58" i="12"/>
  <c r="D58" i="12"/>
  <c r="E58" i="12"/>
  <c r="G58" i="12"/>
  <c r="C59" i="12"/>
  <c r="D59" i="12"/>
  <c r="E59" i="12"/>
  <c r="G59" i="12"/>
  <c r="C60" i="12"/>
  <c r="D60" i="12"/>
  <c r="E60" i="12"/>
  <c r="G60" i="12"/>
  <c r="C61" i="12"/>
  <c r="D61" i="12"/>
  <c r="E61" i="12"/>
  <c r="G61" i="12"/>
  <c r="C62" i="12"/>
  <c r="D62" i="12"/>
  <c r="E62" i="12"/>
  <c r="G62" i="12"/>
  <c r="C63" i="12"/>
  <c r="D63" i="12"/>
  <c r="G63" i="12"/>
  <c r="C64" i="12"/>
  <c r="D64" i="12"/>
  <c r="E64" i="12"/>
  <c r="G64" i="12"/>
  <c r="C65" i="12"/>
  <c r="D65" i="12"/>
  <c r="E65" i="12"/>
  <c r="G65" i="12"/>
  <c r="C66" i="12"/>
  <c r="D66" i="12"/>
  <c r="E66" i="12"/>
  <c r="G66" i="12"/>
  <c r="C67" i="12"/>
  <c r="D67" i="12"/>
  <c r="E67" i="12"/>
  <c r="G67" i="12"/>
  <c r="C68" i="12"/>
  <c r="D68" i="12"/>
  <c r="E68" i="12"/>
  <c r="G68" i="12"/>
  <c r="C69" i="12"/>
  <c r="D69" i="12"/>
  <c r="E69" i="12"/>
  <c r="G69" i="12"/>
  <c r="C70" i="12"/>
  <c r="D70" i="12"/>
  <c r="E70" i="12"/>
  <c r="G70" i="12"/>
  <c r="C71" i="12"/>
  <c r="D71" i="12"/>
  <c r="E71" i="12"/>
  <c r="G71" i="12"/>
  <c r="C72" i="12"/>
  <c r="D72" i="12"/>
  <c r="E72" i="12"/>
  <c r="G72" i="12"/>
  <c r="C73" i="12"/>
  <c r="D73" i="12"/>
  <c r="G73" i="12"/>
  <c r="C74" i="12"/>
  <c r="D74" i="12"/>
  <c r="E74" i="12"/>
  <c r="G74" i="12"/>
  <c r="C75" i="12"/>
  <c r="D75" i="12"/>
  <c r="E75" i="12"/>
  <c r="G75" i="12"/>
  <c r="C76" i="12"/>
  <c r="D76" i="12"/>
  <c r="E76" i="12"/>
  <c r="G76" i="12"/>
  <c r="C77" i="12"/>
  <c r="D77" i="12"/>
  <c r="E77" i="12"/>
  <c r="G77" i="12"/>
  <c r="C78" i="12"/>
  <c r="D78" i="12"/>
  <c r="E78" i="12"/>
  <c r="G78" i="12"/>
  <c r="C79" i="12"/>
  <c r="D79" i="12"/>
  <c r="E79" i="12"/>
  <c r="G79" i="12"/>
  <c r="C80" i="12"/>
  <c r="D80" i="12"/>
  <c r="E80" i="12"/>
  <c r="G80" i="12"/>
  <c r="C81" i="12"/>
  <c r="D81" i="12"/>
  <c r="E81" i="12"/>
  <c r="G81" i="12"/>
  <c r="C82" i="12"/>
  <c r="D82" i="12"/>
  <c r="E82" i="12"/>
  <c r="G82" i="12"/>
  <c r="C83" i="12"/>
  <c r="D83" i="12"/>
  <c r="E83" i="12"/>
  <c r="G83" i="12"/>
  <c r="C84" i="12"/>
  <c r="D84" i="12"/>
  <c r="E84" i="12"/>
  <c r="G84" i="12"/>
  <c r="C85" i="12"/>
  <c r="D85" i="12"/>
  <c r="G85" i="12"/>
  <c r="C86" i="12"/>
  <c r="D86" i="12"/>
  <c r="E86" i="12"/>
  <c r="G86" i="12"/>
  <c r="C87" i="12"/>
  <c r="D87" i="12"/>
  <c r="E87" i="12"/>
  <c r="G87" i="12"/>
  <c r="C88" i="12"/>
  <c r="D88" i="12"/>
  <c r="E88" i="12"/>
  <c r="G88" i="12"/>
  <c r="C89" i="12"/>
  <c r="D89" i="12"/>
  <c r="G89" i="12"/>
  <c r="C90" i="12"/>
  <c r="D90" i="12"/>
  <c r="E90" i="12"/>
  <c r="G90" i="12"/>
  <c r="C91" i="12"/>
  <c r="D91" i="12"/>
  <c r="E91" i="12"/>
  <c r="G91" i="12"/>
  <c r="C92" i="12"/>
  <c r="D92" i="12"/>
  <c r="E92" i="12"/>
  <c r="G92" i="12"/>
  <c r="C93" i="12"/>
  <c r="D93" i="12"/>
  <c r="E93" i="12"/>
  <c r="G93" i="12"/>
  <c r="C94" i="12"/>
  <c r="D94" i="12"/>
  <c r="E94" i="12"/>
  <c r="G94" i="12"/>
  <c r="C95" i="12"/>
  <c r="D95" i="12"/>
  <c r="E95" i="12"/>
  <c r="G95" i="12"/>
  <c r="C96" i="12"/>
  <c r="D96" i="12"/>
  <c r="E96" i="12"/>
  <c r="G96" i="12"/>
  <c r="C97" i="12"/>
  <c r="D97" i="12"/>
  <c r="E97" i="12"/>
  <c r="G97" i="12"/>
  <c r="C98" i="12"/>
  <c r="D98" i="12"/>
  <c r="E98" i="12"/>
  <c r="G98" i="12"/>
  <c r="C99" i="12"/>
  <c r="D99" i="12"/>
  <c r="G99" i="12"/>
  <c r="C100" i="12"/>
  <c r="D100" i="12"/>
  <c r="E100" i="12"/>
  <c r="G100" i="12"/>
  <c r="C101" i="12"/>
  <c r="D101" i="12"/>
  <c r="E101" i="12"/>
  <c r="G101" i="12"/>
  <c r="C102" i="12"/>
  <c r="D102" i="12"/>
  <c r="E102" i="12"/>
  <c r="G102" i="12"/>
  <c r="C103" i="12"/>
  <c r="D103" i="12"/>
  <c r="E103" i="12"/>
  <c r="G103" i="12"/>
  <c r="C104" i="12"/>
  <c r="D104" i="12"/>
  <c r="E104" i="12"/>
  <c r="G104" i="12"/>
  <c r="C105" i="12"/>
  <c r="D105" i="12"/>
  <c r="E105" i="12"/>
  <c r="G105" i="12"/>
  <c r="C106" i="12"/>
  <c r="D106" i="12"/>
  <c r="E106" i="12"/>
  <c r="G106" i="12"/>
  <c r="C107" i="12"/>
  <c r="D107" i="12"/>
  <c r="E107" i="12"/>
  <c r="G107" i="12"/>
  <c r="C108" i="12"/>
  <c r="D108" i="12"/>
  <c r="E108" i="12"/>
  <c r="G108" i="12"/>
  <c r="C109" i="12"/>
  <c r="D109" i="12"/>
  <c r="E109" i="12"/>
  <c r="G109" i="12"/>
  <c r="C110" i="12"/>
  <c r="D110" i="12"/>
  <c r="E110" i="12"/>
  <c r="G110" i="12"/>
  <c r="C111" i="12"/>
  <c r="D111" i="12"/>
  <c r="E111" i="12"/>
  <c r="G111" i="12"/>
  <c r="C112" i="12"/>
  <c r="D112" i="12"/>
  <c r="E112" i="12"/>
  <c r="G112" i="12"/>
  <c r="C113" i="12"/>
  <c r="D113" i="12"/>
  <c r="G113" i="12"/>
  <c r="C114" i="12"/>
  <c r="D114" i="12"/>
  <c r="E114" i="12"/>
  <c r="G114" i="12"/>
  <c r="C115" i="12"/>
  <c r="D115" i="12"/>
  <c r="E115" i="12"/>
  <c r="G115" i="12"/>
  <c r="C116" i="12"/>
  <c r="D116" i="12"/>
  <c r="G116" i="12"/>
  <c r="C117" i="12"/>
  <c r="D117" i="12"/>
  <c r="E117" i="12"/>
  <c r="G117" i="12"/>
  <c r="C118" i="12"/>
  <c r="D118" i="12"/>
  <c r="E118" i="12"/>
  <c r="G118" i="12"/>
  <c r="C119" i="12"/>
  <c r="D119" i="12"/>
  <c r="E119" i="12"/>
  <c r="G119" i="12"/>
  <c r="C120" i="12"/>
  <c r="D120" i="12"/>
  <c r="E120" i="12"/>
  <c r="G120" i="12"/>
  <c r="C121" i="12"/>
  <c r="D121" i="12"/>
  <c r="E121" i="12"/>
  <c r="G121" i="12"/>
  <c r="C122" i="12"/>
  <c r="D122" i="12"/>
  <c r="E122" i="12"/>
  <c r="G122" i="12"/>
  <c r="C123" i="12"/>
  <c r="D123" i="12"/>
  <c r="E123" i="12"/>
  <c r="G123" i="12"/>
  <c r="C124" i="12"/>
  <c r="D124" i="12"/>
  <c r="E124" i="12"/>
  <c r="G124" i="12"/>
  <c r="C125" i="12"/>
  <c r="D125" i="12"/>
  <c r="E125" i="12"/>
  <c r="G125" i="12"/>
  <c r="C126" i="12"/>
  <c r="D126" i="12"/>
  <c r="G126" i="12"/>
  <c r="C127" i="12"/>
  <c r="D127" i="12"/>
  <c r="G127" i="12"/>
  <c r="C128" i="12"/>
  <c r="D128" i="12"/>
  <c r="E128" i="12"/>
  <c r="G128" i="12"/>
  <c r="C129" i="12"/>
  <c r="D129" i="12"/>
  <c r="E129" i="12"/>
  <c r="G129" i="12"/>
  <c r="C130" i="12"/>
  <c r="D130" i="12"/>
  <c r="E130" i="12"/>
  <c r="G130" i="12"/>
  <c r="C131" i="12"/>
  <c r="D131" i="12"/>
  <c r="E131" i="12"/>
  <c r="G131" i="12"/>
  <c r="C132" i="12"/>
  <c r="D132" i="12"/>
  <c r="E132" i="12"/>
  <c r="G132" i="12"/>
  <c r="C133" i="12"/>
  <c r="D133" i="12"/>
  <c r="E133" i="12"/>
  <c r="G133" i="12"/>
  <c r="C134" i="12"/>
  <c r="D134" i="12"/>
  <c r="E134" i="12"/>
  <c r="G134" i="12"/>
  <c r="C135" i="12"/>
  <c r="D135" i="12"/>
  <c r="E135" i="12"/>
  <c r="G135" i="12"/>
  <c r="C136" i="12"/>
  <c r="D136" i="12"/>
  <c r="E136" i="12"/>
  <c r="G136" i="12"/>
  <c r="C137" i="12"/>
  <c r="D137" i="12"/>
  <c r="E137" i="12"/>
  <c r="G137" i="12"/>
  <c r="C138" i="12"/>
  <c r="D138" i="12"/>
  <c r="E138" i="12"/>
  <c r="G138" i="12"/>
  <c r="C139" i="12"/>
  <c r="D139" i="12"/>
  <c r="E139" i="12"/>
  <c r="G139" i="12"/>
  <c r="C140" i="12"/>
  <c r="D140" i="12"/>
  <c r="E140" i="12"/>
  <c r="G140" i="12"/>
  <c r="C141" i="12"/>
  <c r="D141" i="12"/>
  <c r="E141" i="12"/>
  <c r="G141" i="12"/>
  <c r="C142" i="12"/>
  <c r="D142" i="12"/>
  <c r="E142" i="12"/>
  <c r="G142" i="12"/>
  <c r="C143" i="12"/>
  <c r="D143" i="12"/>
  <c r="E143" i="12"/>
  <c r="G143" i="12"/>
  <c r="C144" i="12"/>
  <c r="D144" i="12"/>
  <c r="E144" i="12"/>
  <c r="G144" i="12"/>
  <c r="C145" i="12"/>
  <c r="D145" i="12"/>
  <c r="E145" i="12"/>
  <c r="G145" i="12"/>
  <c r="C146" i="12"/>
  <c r="D146" i="12"/>
  <c r="E146" i="12"/>
  <c r="G146" i="12"/>
  <c r="C147" i="12"/>
  <c r="D147" i="12"/>
  <c r="E147" i="12"/>
  <c r="G147" i="12"/>
  <c r="C148" i="12"/>
  <c r="D148" i="12"/>
  <c r="E148" i="12"/>
  <c r="G148" i="12"/>
  <c r="C149" i="12"/>
  <c r="D149" i="12"/>
  <c r="E149" i="12"/>
  <c r="G149" i="12"/>
  <c r="C150" i="12"/>
  <c r="D150" i="12"/>
  <c r="E150" i="12"/>
  <c r="G150" i="12"/>
  <c r="C151" i="12"/>
  <c r="D151" i="12"/>
  <c r="E151" i="12"/>
  <c r="G151" i="12"/>
  <c r="C152" i="12"/>
  <c r="D152" i="12"/>
  <c r="E152" i="12"/>
  <c r="G152" i="12"/>
  <c r="C153" i="12"/>
  <c r="D153" i="12"/>
  <c r="E153" i="12"/>
  <c r="G153" i="12"/>
  <c r="C154" i="12"/>
  <c r="D154" i="12"/>
  <c r="E154" i="12"/>
  <c r="G154" i="12"/>
  <c r="C155" i="12"/>
  <c r="D155" i="12"/>
  <c r="E155" i="12"/>
  <c r="G155" i="12"/>
  <c r="C156" i="12"/>
  <c r="D156" i="12"/>
  <c r="E156" i="12"/>
  <c r="G156" i="12"/>
  <c r="C157" i="12"/>
  <c r="D157" i="12"/>
  <c r="G157" i="12"/>
  <c r="C158" i="12"/>
  <c r="D158" i="12"/>
  <c r="E158" i="12"/>
  <c r="G158" i="12"/>
  <c r="C159" i="12"/>
  <c r="D159" i="12"/>
  <c r="E159" i="12"/>
  <c r="G159" i="12"/>
  <c r="C160" i="12"/>
  <c r="D160" i="12"/>
  <c r="E160" i="12"/>
  <c r="G160" i="12"/>
  <c r="C161" i="12"/>
  <c r="D161" i="12"/>
  <c r="G161" i="12"/>
  <c r="C162" i="12"/>
  <c r="D162" i="12"/>
  <c r="E162" i="12"/>
  <c r="G162" i="12"/>
  <c r="C163" i="12"/>
  <c r="D163" i="12"/>
  <c r="E163" i="12"/>
  <c r="G163" i="12"/>
  <c r="C164" i="12"/>
  <c r="D164" i="12"/>
  <c r="E164" i="12"/>
  <c r="G164" i="12"/>
  <c r="C165" i="12"/>
  <c r="D165" i="12"/>
  <c r="E165" i="12"/>
  <c r="G165" i="12"/>
  <c r="C166" i="12"/>
  <c r="D166" i="12"/>
  <c r="E166" i="12"/>
  <c r="G166" i="12"/>
  <c r="C167" i="12"/>
  <c r="D167" i="12"/>
  <c r="E167" i="12"/>
  <c r="G167" i="12"/>
  <c r="C168" i="12"/>
  <c r="D168" i="12"/>
  <c r="E168" i="12"/>
  <c r="G168" i="12"/>
  <c r="C169" i="12"/>
  <c r="D169" i="12"/>
  <c r="E169" i="12"/>
  <c r="G169" i="12"/>
  <c r="C170" i="12"/>
  <c r="D170" i="12"/>
  <c r="E170" i="12"/>
  <c r="G170" i="12"/>
  <c r="C171" i="12"/>
  <c r="D171" i="12"/>
  <c r="E171" i="12"/>
  <c r="G171" i="12"/>
  <c r="C172" i="12"/>
  <c r="D172" i="12"/>
  <c r="E172" i="12"/>
  <c r="G172" i="12"/>
  <c r="C173" i="12"/>
  <c r="D173" i="12"/>
  <c r="E173" i="12"/>
  <c r="G173" i="12"/>
  <c r="C174" i="12"/>
  <c r="D174" i="12"/>
  <c r="E174" i="12"/>
  <c r="G174" i="12"/>
  <c r="C175" i="12"/>
  <c r="D175" i="12"/>
  <c r="G175" i="12"/>
  <c r="C176" i="12"/>
  <c r="D176" i="12"/>
  <c r="E176" i="12"/>
  <c r="G176" i="12"/>
  <c r="C177" i="12"/>
  <c r="D177" i="12"/>
  <c r="E177" i="12"/>
  <c r="G177" i="12"/>
  <c r="C178" i="12"/>
  <c r="D178" i="12"/>
  <c r="E178" i="12"/>
  <c r="G178" i="12"/>
  <c r="C179" i="12"/>
  <c r="D179" i="12"/>
  <c r="G179" i="12"/>
  <c r="C180" i="12"/>
  <c r="D180" i="12"/>
  <c r="E180" i="12"/>
  <c r="G180" i="12"/>
  <c r="C181" i="12"/>
  <c r="D181" i="12"/>
  <c r="E181" i="12"/>
  <c r="G181" i="12"/>
  <c r="C182" i="12"/>
  <c r="D182" i="12"/>
  <c r="E182" i="12"/>
  <c r="G182" i="12"/>
  <c r="C183" i="12"/>
  <c r="D183" i="12"/>
  <c r="E183" i="12"/>
  <c r="G183" i="12"/>
  <c r="C184" i="12"/>
  <c r="D184" i="12"/>
  <c r="E184" i="12"/>
  <c r="G184" i="12"/>
  <c r="C185" i="12"/>
  <c r="D185" i="12"/>
  <c r="E185" i="12"/>
  <c r="G185" i="12"/>
  <c r="C186" i="12"/>
  <c r="D186" i="12"/>
  <c r="E186" i="12"/>
  <c r="G186" i="12"/>
  <c r="C187" i="12"/>
  <c r="D187" i="12"/>
  <c r="E187" i="12"/>
  <c r="G187" i="12"/>
  <c r="C188" i="12"/>
  <c r="D188" i="12"/>
  <c r="E188" i="12"/>
  <c r="G188" i="12"/>
  <c r="C189" i="12"/>
  <c r="D189" i="12"/>
  <c r="E189" i="12"/>
  <c r="G189" i="12"/>
  <c r="C190" i="12"/>
  <c r="D190" i="12"/>
  <c r="E190" i="12"/>
  <c r="G190" i="12"/>
  <c r="C191" i="12"/>
  <c r="D191" i="12"/>
  <c r="E191" i="12"/>
  <c r="G191" i="12"/>
  <c r="C192" i="12"/>
  <c r="D192" i="12"/>
  <c r="E192" i="12"/>
  <c r="G192" i="12"/>
  <c r="C193" i="12"/>
  <c r="D193" i="12"/>
  <c r="E193" i="12"/>
  <c r="G193" i="12"/>
  <c r="C194" i="12"/>
  <c r="D194" i="12"/>
  <c r="E194" i="12"/>
  <c r="G194" i="12"/>
  <c r="C195" i="12"/>
  <c r="D195" i="12"/>
  <c r="E195" i="12"/>
  <c r="G195" i="12"/>
  <c r="C196" i="12"/>
  <c r="D196" i="12"/>
  <c r="E196" i="12"/>
  <c r="G196" i="12"/>
  <c r="C197" i="12"/>
  <c r="D197" i="12"/>
  <c r="E197" i="12"/>
  <c r="G197" i="12"/>
  <c r="C198" i="12"/>
  <c r="D198" i="12"/>
  <c r="E198" i="12"/>
  <c r="G198" i="12"/>
  <c r="C199" i="12"/>
  <c r="D199" i="12"/>
  <c r="E199" i="12"/>
  <c r="G199" i="12"/>
  <c r="C200" i="12"/>
  <c r="D200" i="12"/>
  <c r="E200" i="12"/>
  <c r="G200" i="12"/>
  <c r="C201" i="12"/>
  <c r="D201" i="12"/>
  <c r="E201" i="12"/>
  <c r="G201" i="12"/>
  <c r="C202" i="12"/>
  <c r="D202" i="12"/>
  <c r="E202" i="12"/>
  <c r="G202" i="12"/>
  <c r="C203" i="12"/>
  <c r="D203" i="12"/>
  <c r="E203" i="12"/>
  <c r="G203" i="12"/>
  <c r="C204" i="12"/>
  <c r="D204" i="12"/>
  <c r="E204" i="12"/>
  <c r="G204" i="12"/>
  <c r="C205" i="12"/>
  <c r="D205" i="12"/>
  <c r="G205" i="12"/>
  <c r="C206" i="12"/>
  <c r="D206" i="12"/>
  <c r="E206" i="12"/>
  <c r="G206" i="12"/>
  <c r="C207" i="12"/>
  <c r="D207" i="12"/>
  <c r="E207" i="12"/>
  <c r="G207" i="12"/>
  <c r="C208" i="12"/>
  <c r="D208" i="12"/>
  <c r="E208" i="12"/>
  <c r="G208" i="12"/>
  <c r="C209" i="12"/>
  <c r="D209" i="12"/>
  <c r="E209" i="12"/>
  <c r="G209" i="12"/>
  <c r="C210" i="12"/>
  <c r="D210" i="12"/>
  <c r="E210" i="12"/>
  <c r="G210" i="12"/>
  <c r="C211" i="12"/>
  <c r="D211" i="12"/>
  <c r="E211" i="12"/>
  <c r="G211" i="12"/>
  <c r="C212" i="12"/>
  <c r="D212" i="12"/>
  <c r="E212" i="12"/>
  <c r="G212" i="12"/>
  <c r="C213" i="12"/>
  <c r="D213" i="12"/>
  <c r="G213" i="12"/>
  <c r="C214" i="12"/>
  <c r="D214" i="12"/>
  <c r="E214" i="12"/>
  <c r="G214" i="12"/>
  <c r="C215" i="12"/>
  <c r="D215" i="12"/>
  <c r="E215" i="12"/>
  <c r="G215" i="12"/>
  <c r="C216" i="12"/>
  <c r="D216" i="12"/>
  <c r="E216" i="12"/>
  <c r="G216" i="12"/>
  <c r="C217" i="12"/>
  <c r="D217" i="12"/>
  <c r="E217" i="12"/>
  <c r="G217" i="12"/>
  <c r="C218" i="12"/>
  <c r="D218" i="12"/>
  <c r="E218" i="12"/>
  <c r="G218" i="12"/>
  <c r="C219" i="12"/>
  <c r="D219" i="12"/>
  <c r="E219" i="12"/>
  <c r="G219" i="12"/>
  <c r="C220" i="12"/>
  <c r="D220" i="12"/>
  <c r="E220" i="12"/>
  <c r="G220" i="12"/>
  <c r="C221" i="12"/>
  <c r="D221" i="12"/>
  <c r="E221" i="12"/>
  <c r="G221" i="12"/>
  <c r="C222" i="12"/>
  <c r="D222" i="12"/>
  <c r="E222" i="12"/>
  <c r="G222" i="12"/>
  <c r="C223" i="12"/>
  <c r="D223" i="12"/>
  <c r="E223" i="12"/>
  <c r="G223" i="12"/>
  <c r="C224" i="12"/>
  <c r="D224" i="12"/>
  <c r="E224" i="12"/>
  <c r="G224" i="12"/>
  <c r="C225" i="12"/>
  <c r="D225" i="12"/>
  <c r="E225" i="12"/>
  <c r="G225" i="12"/>
  <c r="C226" i="12"/>
  <c r="D226" i="12"/>
  <c r="E226" i="12"/>
  <c r="G226" i="12"/>
  <c r="C227" i="12"/>
  <c r="D227" i="12"/>
  <c r="E227" i="12"/>
  <c r="G227" i="12"/>
  <c r="C228" i="12"/>
  <c r="D228" i="12"/>
  <c r="E228" i="12"/>
  <c r="G228" i="12"/>
  <c r="C229" i="12"/>
  <c r="D229" i="12"/>
  <c r="E229" i="12"/>
  <c r="G229" i="12"/>
  <c r="C230" i="12"/>
  <c r="D230" i="12"/>
  <c r="E230" i="12"/>
  <c r="G230" i="12"/>
  <c r="C231" i="12"/>
  <c r="D231" i="12"/>
  <c r="E231" i="12"/>
  <c r="G231" i="12"/>
  <c r="C232" i="12"/>
  <c r="D232" i="12"/>
  <c r="E232" i="12"/>
  <c r="G232" i="12"/>
  <c r="C233" i="12"/>
  <c r="D233" i="12"/>
  <c r="E233" i="12"/>
  <c r="G233" i="12"/>
  <c r="C234" i="12"/>
  <c r="D234" i="12"/>
  <c r="E234" i="12"/>
  <c r="G234" i="12"/>
  <c r="C235" i="12"/>
  <c r="D235" i="12"/>
  <c r="E235" i="12"/>
  <c r="G235" i="12"/>
  <c r="C236" i="12"/>
  <c r="D236" i="12"/>
  <c r="E236" i="12"/>
  <c r="G236" i="12"/>
  <c r="C237" i="12"/>
  <c r="D237" i="12"/>
  <c r="E237" i="12"/>
  <c r="G237" i="12"/>
  <c r="C238" i="12"/>
  <c r="D238" i="12"/>
  <c r="E238" i="12"/>
  <c r="G238" i="12"/>
  <c r="C239" i="12"/>
  <c r="D239" i="12"/>
  <c r="G239" i="12"/>
  <c r="C240" i="12"/>
  <c r="D240" i="12"/>
  <c r="E240" i="12"/>
  <c r="G240" i="12"/>
  <c r="C241" i="12"/>
  <c r="D241" i="12"/>
  <c r="E241" i="12"/>
  <c r="G241" i="12"/>
  <c r="C242" i="12"/>
  <c r="D242" i="12"/>
  <c r="E242" i="12"/>
  <c r="G242" i="12"/>
  <c r="C243" i="12"/>
  <c r="D243" i="12"/>
  <c r="E243" i="12"/>
  <c r="G243" i="12"/>
  <c r="C244" i="12"/>
  <c r="D244" i="12"/>
  <c r="E244" i="12"/>
  <c r="G244" i="12"/>
  <c r="C245" i="12"/>
  <c r="D245" i="12"/>
  <c r="E245" i="12"/>
  <c r="G245" i="12"/>
  <c r="C246" i="12"/>
  <c r="D246" i="12"/>
  <c r="E246" i="12"/>
  <c r="G246" i="12"/>
  <c r="C247" i="12"/>
  <c r="D247" i="12"/>
  <c r="E247" i="12"/>
  <c r="G247" i="12"/>
  <c r="C248" i="12"/>
  <c r="D248" i="12"/>
  <c r="E248" i="12"/>
  <c r="G248" i="12"/>
  <c r="C249" i="12"/>
  <c r="D249" i="12"/>
  <c r="E249" i="12"/>
  <c r="G249" i="12"/>
  <c r="C250" i="12"/>
  <c r="D250" i="12"/>
  <c r="E250" i="12"/>
  <c r="G250" i="12"/>
  <c r="C251" i="12"/>
  <c r="D251" i="12"/>
  <c r="E251" i="12"/>
  <c r="G251" i="12"/>
  <c r="C252" i="12"/>
  <c r="D252" i="12"/>
  <c r="E252" i="12"/>
  <c r="G252" i="12"/>
  <c r="C253" i="12"/>
  <c r="D253" i="12"/>
  <c r="E253" i="12"/>
  <c r="G253" i="12"/>
  <c r="C254" i="12"/>
  <c r="D254" i="12"/>
  <c r="E254" i="12"/>
  <c r="G254" i="12"/>
  <c r="C255" i="12"/>
  <c r="D255" i="12"/>
  <c r="E255" i="12"/>
  <c r="G255" i="12"/>
  <c r="C256" i="12"/>
  <c r="D256" i="12"/>
  <c r="E256" i="12"/>
  <c r="G256" i="12"/>
  <c r="C257" i="12"/>
  <c r="D257" i="12"/>
  <c r="E257" i="12"/>
  <c r="G257" i="12"/>
  <c r="C258" i="12"/>
  <c r="D258" i="12"/>
  <c r="E258" i="12"/>
  <c r="G258" i="12"/>
  <c r="C259" i="12"/>
  <c r="D259" i="12"/>
  <c r="E259" i="12"/>
  <c r="G259" i="12"/>
  <c r="C260" i="12"/>
  <c r="D260" i="12"/>
  <c r="E260" i="12"/>
  <c r="G260" i="12"/>
  <c r="C261" i="12"/>
  <c r="D261" i="12"/>
  <c r="E261" i="12"/>
  <c r="G261" i="12"/>
  <c r="C262" i="12"/>
  <c r="D262" i="12"/>
  <c r="E262" i="12"/>
  <c r="G262" i="12"/>
  <c r="C263" i="12"/>
  <c r="D263" i="12"/>
  <c r="E263" i="12"/>
  <c r="G263" i="12"/>
  <c r="C264" i="12"/>
  <c r="D264" i="12"/>
  <c r="E264" i="12"/>
  <c r="G264" i="12"/>
  <c r="C265" i="12"/>
  <c r="D265" i="12"/>
  <c r="E265" i="12"/>
  <c r="G265" i="12"/>
  <c r="C266" i="12"/>
  <c r="D266" i="12"/>
  <c r="E266" i="12"/>
  <c r="G266" i="12"/>
  <c r="C267" i="12"/>
  <c r="D267" i="12"/>
  <c r="E267" i="12"/>
  <c r="G267" i="12"/>
  <c r="C268" i="12"/>
  <c r="D268" i="12"/>
  <c r="E268" i="12"/>
  <c r="G268" i="12"/>
  <c r="C269" i="12"/>
  <c r="D269" i="12"/>
  <c r="E269" i="12"/>
  <c r="G269" i="12"/>
  <c r="C270" i="12"/>
  <c r="D270" i="12"/>
  <c r="E270" i="12"/>
  <c r="G270" i="12"/>
  <c r="C271" i="12"/>
  <c r="D271" i="12"/>
  <c r="E271" i="12"/>
  <c r="G271" i="12"/>
  <c r="C272" i="12"/>
  <c r="D272" i="12"/>
  <c r="E272" i="12"/>
  <c r="G272" i="12"/>
  <c r="C273" i="12"/>
  <c r="D273" i="12"/>
  <c r="E273" i="12"/>
  <c r="G273" i="12"/>
  <c r="C274" i="12"/>
  <c r="D274" i="12"/>
  <c r="E274" i="12"/>
  <c r="G274" i="12"/>
  <c r="C275" i="12"/>
  <c r="D275" i="12"/>
  <c r="E275" i="12"/>
  <c r="G275" i="12"/>
  <c r="C276" i="12"/>
  <c r="D276" i="12"/>
  <c r="E276" i="12"/>
  <c r="G276" i="12"/>
  <c r="C277" i="12"/>
  <c r="D277" i="12"/>
  <c r="E277" i="12"/>
  <c r="G277" i="12"/>
  <c r="C278" i="12"/>
  <c r="D278" i="12"/>
  <c r="E278" i="12"/>
  <c r="G278" i="12"/>
  <c r="C279" i="12"/>
  <c r="D279" i="12"/>
  <c r="E279" i="12"/>
  <c r="G279" i="12"/>
  <c r="C280" i="12"/>
  <c r="D280" i="12"/>
  <c r="E280" i="12"/>
  <c r="G280" i="12"/>
  <c r="C281" i="12"/>
  <c r="D281" i="12"/>
  <c r="E281" i="12"/>
  <c r="G281" i="12"/>
  <c r="C282" i="12"/>
  <c r="D282" i="12"/>
  <c r="E282" i="12"/>
  <c r="G282" i="12"/>
  <c r="C283" i="12"/>
  <c r="D283" i="12"/>
  <c r="E283" i="12"/>
  <c r="G283" i="12"/>
  <c r="C284" i="12"/>
  <c r="D284" i="12"/>
  <c r="E284" i="12"/>
  <c r="G284" i="12"/>
  <c r="C285" i="12"/>
  <c r="D285" i="12"/>
  <c r="E285" i="12"/>
  <c r="G285" i="12"/>
  <c r="C286" i="12"/>
  <c r="D286" i="12"/>
  <c r="E286" i="12"/>
  <c r="G286" i="12"/>
  <c r="C287" i="12"/>
  <c r="D287" i="12"/>
  <c r="E287" i="12"/>
  <c r="G287" i="12"/>
  <c r="C288" i="12"/>
  <c r="D288" i="12"/>
  <c r="E288" i="12"/>
  <c r="G288" i="12"/>
  <c r="C289" i="12"/>
  <c r="D289" i="12"/>
  <c r="E289" i="12"/>
  <c r="G289" i="12"/>
  <c r="C290" i="12"/>
  <c r="D290" i="12"/>
  <c r="E290" i="12"/>
  <c r="G290" i="12"/>
  <c r="C291" i="12"/>
  <c r="D291" i="12"/>
  <c r="G291" i="12"/>
  <c r="C292" i="12"/>
  <c r="D292" i="12"/>
  <c r="E292" i="12"/>
  <c r="G292" i="12"/>
  <c r="C293" i="12"/>
  <c r="D293" i="12"/>
  <c r="E293" i="12"/>
  <c r="G293" i="12"/>
  <c r="C294" i="12"/>
  <c r="D294" i="12"/>
  <c r="E294" i="12"/>
  <c r="G294" i="12"/>
  <c r="C295" i="12"/>
  <c r="D295" i="12"/>
  <c r="E295" i="12"/>
  <c r="G295" i="12"/>
  <c r="C296" i="12"/>
  <c r="D296" i="12"/>
  <c r="E296" i="12"/>
  <c r="G296" i="12"/>
  <c r="C297" i="12"/>
  <c r="D297" i="12"/>
  <c r="E297" i="12"/>
  <c r="G297" i="12"/>
  <c r="C298" i="12"/>
  <c r="D298" i="12"/>
  <c r="E298" i="12"/>
  <c r="G298" i="12"/>
  <c r="C299" i="12"/>
  <c r="D299" i="12"/>
  <c r="E299" i="12"/>
  <c r="G299" i="12"/>
  <c r="C300" i="12"/>
  <c r="D300" i="12"/>
  <c r="E300" i="12"/>
  <c r="G300" i="12"/>
  <c r="C301" i="12"/>
  <c r="D301" i="12"/>
  <c r="E301" i="12"/>
  <c r="G301" i="12"/>
  <c r="C302" i="12"/>
  <c r="D302" i="12"/>
  <c r="E302" i="12"/>
  <c r="G302" i="12"/>
  <c r="C303" i="12"/>
  <c r="D303" i="12"/>
  <c r="E303" i="12"/>
  <c r="G303" i="12"/>
  <c r="C304" i="12"/>
  <c r="D304" i="12"/>
  <c r="E304" i="12"/>
  <c r="G304" i="12"/>
  <c r="C305" i="12"/>
  <c r="D305" i="12"/>
  <c r="E305" i="12"/>
  <c r="G305" i="12"/>
  <c r="C306" i="12"/>
  <c r="D306" i="12"/>
  <c r="E306" i="12"/>
  <c r="G306" i="12"/>
  <c r="C307" i="12"/>
  <c r="D307" i="12"/>
  <c r="E307" i="12"/>
  <c r="G307" i="12"/>
  <c r="C308" i="12"/>
  <c r="D308" i="12"/>
  <c r="E308" i="12"/>
  <c r="G308" i="12"/>
  <c r="C309" i="12"/>
  <c r="D309" i="12"/>
  <c r="E309" i="12"/>
  <c r="G309" i="12"/>
  <c r="C310" i="12"/>
  <c r="D310" i="12"/>
  <c r="E310" i="12"/>
  <c r="G310" i="12"/>
  <c r="C311" i="12"/>
  <c r="D311" i="12"/>
  <c r="E311" i="12"/>
  <c r="G311" i="12"/>
  <c r="C312" i="12"/>
  <c r="D312" i="12"/>
  <c r="E312" i="12"/>
  <c r="G312" i="12"/>
  <c r="C313" i="12"/>
  <c r="D313" i="12"/>
  <c r="E313" i="12"/>
  <c r="G313" i="12"/>
  <c r="C314" i="12"/>
  <c r="D314" i="12"/>
  <c r="E314" i="12"/>
  <c r="G314" i="12"/>
  <c r="C315" i="12"/>
  <c r="D315" i="12"/>
  <c r="E315" i="12"/>
  <c r="G315" i="12"/>
  <c r="C316" i="12"/>
  <c r="D316" i="12"/>
  <c r="E316" i="12"/>
  <c r="G316" i="12"/>
  <c r="C317" i="12"/>
  <c r="D317" i="12"/>
  <c r="E317" i="12"/>
  <c r="G317" i="12"/>
  <c r="C318" i="12"/>
  <c r="D318" i="12"/>
  <c r="E318" i="12"/>
  <c r="G318" i="12"/>
  <c r="C319" i="12"/>
  <c r="D319" i="12"/>
  <c r="E319" i="12"/>
  <c r="G319" i="12"/>
  <c r="C320" i="12"/>
  <c r="D320" i="12"/>
  <c r="E320" i="12"/>
  <c r="G320" i="12"/>
  <c r="C321" i="12"/>
  <c r="D321" i="12"/>
  <c r="E321" i="12"/>
  <c r="G321" i="12"/>
  <c r="C322" i="12"/>
  <c r="D322" i="12"/>
  <c r="E322" i="12"/>
  <c r="G322" i="12"/>
  <c r="C323" i="12"/>
  <c r="D323" i="12"/>
  <c r="E323" i="12"/>
  <c r="G323" i="12"/>
  <c r="C324" i="12"/>
  <c r="D324" i="12"/>
  <c r="E324" i="12"/>
  <c r="G324" i="12"/>
  <c r="C325" i="12"/>
  <c r="D325" i="12"/>
  <c r="E325" i="12"/>
  <c r="G325" i="12"/>
  <c r="C326" i="12"/>
  <c r="D326" i="12"/>
  <c r="E326" i="12"/>
  <c r="G326" i="12"/>
  <c r="C327" i="12"/>
  <c r="D327" i="12"/>
  <c r="E327" i="12"/>
  <c r="G327" i="12"/>
  <c r="C328" i="12"/>
  <c r="D328" i="12"/>
  <c r="E328" i="12"/>
  <c r="G328" i="12"/>
  <c r="C329" i="12"/>
  <c r="D329" i="12"/>
  <c r="E329" i="12"/>
  <c r="G329" i="12"/>
  <c r="C330" i="12"/>
  <c r="D330" i="12"/>
  <c r="E330" i="12"/>
  <c r="G330" i="12"/>
  <c r="C331" i="12"/>
  <c r="D331" i="12"/>
  <c r="E331" i="12"/>
  <c r="G331" i="12"/>
  <c r="C332" i="12"/>
  <c r="D332" i="12"/>
  <c r="E332" i="12"/>
  <c r="G332" i="12"/>
  <c r="C333" i="12"/>
  <c r="D333" i="12"/>
  <c r="E333" i="12"/>
  <c r="G333" i="12"/>
  <c r="C334" i="12"/>
  <c r="D334" i="12"/>
  <c r="E334" i="12"/>
  <c r="G334" i="12"/>
  <c r="C335" i="12"/>
  <c r="D335" i="12"/>
  <c r="E335" i="12"/>
  <c r="G335" i="12"/>
  <c r="C336" i="12"/>
  <c r="D336" i="12"/>
  <c r="E336" i="12"/>
  <c r="G336" i="12"/>
  <c r="C337" i="12"/>
  <c r="D337" i="12"/>
  <c r="E337" i="12"/>
  <c r="G337" i="12"/>
  <c r="C338" i="12"/>
  <c r="D338" i="12"/>
  <c r="E338" i="12"/>
  <c r="G338" i="12"/>
  <c r="C339" i="12"/>
  <c r="D339" i="12"/>
  <c r="E339" i="12"/>
  <c r="G339" i="12"/>
  <c r="C340" i="12"/>
  <c r="D340" i="12"/>
  <c r="E340" i="12"/>
  <c r="G340" i="12"/>
  <c r="C341" i="12"/>
  <c r="D341" i="12"/>
  <c r="E341" i="12"/>
  <c r="G341" i="12"/>
  <c r="C342" i="12"/>
  <c r="D342" i="12"/>
  <c r="E342" i="12"/>
  <c r="G342" i="12"/>
  <c r="C343" i="12"/>
  <c r="D343" i="12"/>
  <c r="E343" i="12"/>
  <c r="G343" i="12"/>
  <c r="C344" i="12"/>
  <c r="D344" i="12"/>
  <c r="E344" i="12"/>
  <c r="G344" i="12"/>
  <c r="C345" i="12"/>
  <c r="D345" i="12"/>
  <c r="E345" i="12"/>
  <c r="G345" i="12"/>
  <c r="C346" i="12"/>
  <c r="D346" i="12"/>
  <c r="E346" i="12"/>
  <c r="G346" i="12"/>
  <c r="C347" i="12"/>
  <c r="D347" i="12"/>
  <c r="E347" i="12"/>
  <c r="G347" i="12"/>
  <c r="C348" i="12"/>
  <c r="D348" i="12"/>
  <c r="E348" i="12"/>
  <c r="G348" i="12"/>
  <c r="C349" i="12"/>
  <c r="D349" i="12"/>
  <c r="E349" i="12"/>
  <c r="G349" i="12"/>
  <c r="C350" i="12"/>
  <c r="D350" i="12"/>
  <c r="E350" i="12"/>
  <c r="G350" i="12"/>
  <c r="C351" i="12"/>
  <c r="D351" i="12"/>
  <c r="E351" i="12"/>
  <c r="G351" i="12"/>
  <c r="C352" i="12"/>
  <c r="D352" i="12"/>
  <c r="E352" i="12"/>
  <c r="G352" i="12"/>
  <c r="C353" i="12"/>
  <c r="D353" i="12"/>
  <c r="E353" i="12"/>
  <c r="G353" i="12"/>
  <c r="C354" i="12"/>
  <c r="D354" i="12"/>
  <c r="E354" i="12"/>
  <c r="G354" i="12"/>
  <c r="C355" i="12"/>
  <c r="D355" i="12"/>
  <c r="E355" i="12"/>
  <c r="G355" i="12"/>
  <c r="C356" i="12"/>
  <c r="D356" i="12"/>
  <c r="E356" i="12"/>
  <c r="G356" i="12"/>
  <c r="C357" i="12"/>
  <c r="D357" i="12"/>
  <c r="E357" i="12"/>
  <c r="G357" i="12"/>
  <c r="C358" i="12"/>
  <c r="D358" i="12"/>
  <c r="E358" i="12"/>
  <c r="G358" i="12"/>
  <c r="C359" i="12"/>
  <c r="D359" i="12"/>
  <c r="E359" i="12"/>
  <c r="G359" i="12"/>
  <c r="C360" i="12"/>
  <c r="D360" i="12"/>
  <c r="E360" i="12"/>
  <c r="G360" i="12"/>
  <c r="C361" i="12"/>
  <c r="D361" i="12"/>
  <c r="G361" i="12"/>
  <c r="C362" i="12"/>
  <c r="D362" i="12"/>
  <c r="E362" i="12"/>
  <c r="G362" i="12"/>
  <c r="C363" i="12"/>
  <c r="D363" i="12"/>
  <c r="E363" i="12"/>
  <c r="G363" i="12"/>
  <c r="C364" i="12"/>
  <c r="D364" i="12"/>
  <c r="E364" i="12"/>
  <c r="G364" i="12"/>
  <c r="C365" i="12"/>
  <c r="D365" i="12"/>
  <c r="E365" i="12"/>
  <c r="G365" i="12"/>
  <c r="C366" i="12"/>
  <c r="D366" i="12"/>
  <c r="E366" i="12"/>
  <c r="G366" i="12"/>
  <c r="C367" i="12"/>
  <c r="D367" i="12"/>
  <c r="E367" i="12"/>
  <c r="G367" i="12"/>
  <c r="C368" i="12"/>
  <c r="D368" i="12"/>
  <c r="E368" i="12"/>
  <c r="G368" i="12"/>
  <c r="C369" i="12"/>
  <c r="D369" i="12"/>
  <c r="E369" i="12"/>
  <c r="G369" i="12"/>
  <c r="C370" i="12"/>
  <c r="D370" i="12"/>
  <c r="E370" i="12"/>
  <c r="G370" i="12"/>
  <c r="C371" i="12"/>
  <c r="D371" i="12"/>
  <c r="E371" i="12"/>
  <c r="G371" i="12"/>
  <c r="C372" i="12"/>
  <c r="D372" i="12"/>
  <c r="E372" i="12"/>
  <c r="G372" i="12"/>
  <c r="C373" i="12"/>
  <c r="D373" i="12"/>
  <c r="E373" i="12"/>
  <c r="G373" i="12"/>
  <c r="C374" i="12"/>
  <c r="D374" i="12"/>
  <c r="E374" i="12"/>
  <c r="G374" i="12"/>
  <c r="C375" i="12"/>
  <c r="D375" i="12"/>
  <c r="E375" i="12"/>
  <c r="G375" i="12"/>
  <c r="C376" i="12"/>
  <c r="D376" i="12"/>
  <c r="E376" i="12"/>
  <c r="G376" i="12"/>
  <c r="C377" i="12"/>
  <c r="D377" i="12"/>
  <c r="E377" i="12"/>
  <c r="G377" i="12"/>
  <c r="C378" i="12"/>
  <c r="D378" i="12"/>
  <c r="E378" i="12"/>
  <c r="G378" i="12"/>
  <c r="C379" i="12"/>
  <c r="D379" i="12"/>
  <c r="E379" i="12"/>
  <c r="G379" i="12"/>
  <c r="C380" i="12"/>
  <c r="D380" i="12"/>
  <c r="E380" i="12"/>
  <c r="G380" i="12"/>
  <c r="C381" i="12"/>
  <c r="D381" i="12"/>
  <c r="E381" i="12"/>
  <c r="G381" i="12"/>
  <c r="C382" i="12"/>
  <c r="D382" i="12"/>
  <c r="E382" i="12"/>
  <c r="G382" i="12"/>
  <c r="C383" i="12"/>
  <c r="D383" i="12"/>
  <c r="E383" i="12"/>
  <c r="G383" i="12"/>
  <c r="C384" i="12"/>
  <c r="D384" i="12"/>
  <c r="E384" i="12"/>
  <c r="G384" i="12"/>
  <c r="C385" i="12"/>
  <c r="D385" i="12"/>
  <c r="G385" i="12"/>
  <c r="C386" i="12"/>
  <c r="D386" i="12"/>
  <c r="E386" i="12"/>
  <c r="G386" i="12"/>
  <c r="C387" i="12"/>
  <c r="D387" i="12"/>
  <c r="E387" i="12"/>
  <c r="G387" i="12"/>
  <c r="C388" i="12"/>
  <c r="D388" i="12"/>
  <c r="E388" i="12"/>
  <c r="G388" i="12"/>
  <c r="C389" i="12"/>
  <c r="D389" i="12"/>
  <c r="E389" i="12"/>
  <c r="G389" i="12"/>
  <c r="C390" i="12"/>
  <c r="D390" i="12"/>
  <c r="E390" i="12"/>
  <c r="G390" i="12"/>
  <c r="C391" i="12"/>
  <c r="D391" i="12"/>
  <c r="E391" i="12"/>
  <c r="G391" i="12"/>
  <c r="C392" i="12"/>
  <c r="D392" i="12"/>
  <c r="E392" i="12"/>
  <c r="G392" i="12"/>
  <c r="C393" i="12"/>
  <c r="D393" i="12"/>
  <c r="E393" i="12"/>
  <c r="G393" i="12"/>
  <c r="C394" i="12"/>
  <c r="D394" i="12"/>
  <c r="E394" i="12"/>
  <c r="G394" i="12"/>
  <c r="C395" i="12"/>
  <c r="D395" i="12"/>
  <c r="E395" i="12"/>
  <c r="G395" i="12"/>
  <c r="C396" i="12"/>
  <c r="D396" i="12"/>
  <c r="E396" i="12"/>
  <c r="G396" i="12"/>
  <c r="C397" i="12"/>
  <c r="D397" i="12"/>
  <c r="E397" i="12"/>
  <c r="G397" i="12"/>
  <c r="C398" i="12"/>
  <c r="D398" i="12"/>
  <c r="E398" i="12"/>
  <c r="G398" i="12"/>
  <c r="C399" i="12"/>
  <c r="D399" i="12"/>
  <c r="E399" i="12"/>
  <c r="G399" i="12"/>
  <c r="C400" i="12"/>
  <c r="D400" i="12"/>
  <c r="E400" i="12"/>
  <c r="G400" i="12"/>
  <c r="C401" i="12"/>
  <c r="D401" i="12"/>
  <c r="E401" i="12"/>
  <c r="G401" i="12"/>
  <c r="C402" i="12"/>
  <c r="D402" i="12"/>
  <c r="E402" i="12"/>
  <c r="G402" i="12"/>
  <c r="C403" i="12"/>
  <c r="D403" i="12"/>
  <c r="E403" i="12"/>
  <c r="G403" i="12"/>
  <c r="C404" i="12"/>
  <c r="D404" i="12"/>
  <c r="E404" i="12"/>
  <c r="G404" i="12"/>
  <c r="C405" i="12"/>
  <c r="D405" i="12"/>
  <c r="E405" i="12"/>
  <c r="G405" i="12"/>
  <c r="C406" i="12"/>
  <c r="D406" i="12"/>
  <c r="E406" i="12"/>
  <c r="G406" i="12"/>
  <c r="C407" i="12"/>
  <c r="D407" i="12"/>
  <c r="E407" i="12"/>
  <c r="G407" i="12"/>
  <c r="C408" i="12"/>
  <c r="D408" i="12"/>
  <c r="E408" i="12"/>
  <c r="G408" i="12"/>
  <c r="C409" i="12"/>
  <c r="D409" i="12"/>
  <c r="E409" i="12"/>
  <c r="G409" i="12"/>
  <c r="C410" i="12"/>
  <c r="D410" i="12"/>
  <c r="E410" i="12"/>
  <c r="G410" i="12"/>
  <c r="C411" i="12"/>
  <c r="D411" i="12"/>
  <c r="E411" i="12"/>
  <c r="G411" i="12"/>
  <c r="C412" i="12"/>
  <c r="D412" i="12"/>
  <c r="E412" i="12"/>
  <c r="G412" i="12"/>
  <c r="C413" i="12"/>
  <c r="D413" i="12"/>
  <c r="E413" i="12"/>
  <c r="G413" i="12"/>
  <c r="C414" i="12"/>
  <c r="D414" i="12"/>
  <c r="E414" i="12"/>
  <c r="G414" i="12"/>
  <c r="C415" i="12"/>
  <c r="D415" i="12"/>
  <c r="E415" i="12"/>
  <c r="G415" i="12"/>
  <c r="C416" i="12"/>
  <c r="D416" i="12"/>
  <c r="E416" i="12"/>
  <c r="G416" i="12"/>
  <c r="C417" i="12"/>
  <c r="D417" i="12"/>
  <c r="E417" i="12"/>
  <c r="G417" i="12"/>
  <c r="C418" i="12"/>
  <c r="D418" i="12"/>
  <c r="E418" i="12"/>
  <c r="G418" i="12"/>
  <c r="C419" i="12"/>
  <c r="D419" i="12"/>
  <c r="E419" i="12"/>
  <c r="G419" i="12"/>
  <c r="C420" i="12"/>
  <c r="D420" i="12"/>
  <c r="E420" i="12"/>
  <c r="G420" i="12"/>
  <c r="C421" i="12"/>
  <c r="D421" i="12"/>
  <c r="E421" i="12"/>
  <c r="G421" i="12"/>
  <c r="C422" i="12"/>
  <c r="D422" i="12"/>
  <c r="E422" i="12"/>
  <c r="G422" i="12"/>
  <c r="C423" i="12"/>
  <c r="D423" i="12"/>
  <c r="E423" i="12"/>
  <c r="G423" i="12"/>
  <c r="C424" i="12"/>
  <c r="D424" i="12"/>
  <c r="E424" i="12"/>
  <c r="G424" i="12"/>
  <c r="C425" i="12"/>
  <c r="D425" i="12"/>
  <c r="E425" i="12"/>
  <c r="G425" i="12"/>
  <c r="C426" i="12"/>
  <c r="D426" i="12"/>
  <c r="E426" i="12"/>
  <c r="G426" i="12"/>
  <c r="C427" i="12"/>
  <c r="D427" i="12"/>
  <c r="E427" i="12"/>
  <c r="G427" i="12"/>
  <c r="C428" i="12"/>
  <c r="D428" i="12"/>
  <c r="E428" i="12"/>
  <c r="G428" i="12"/>
  <c r="C429" i="12"/>
  <c r="D429" i="12"/>
  <c r="E429" i="12"/>
  <c r="G429" i="12"/>
  <c r="C430" i="12"/>
  <c r="D430" i="12"/>
  <c r="E430" i="12"/>
  <c r="G430" i="12"/>
  <c r="C431" i="12"/>
  <c r="D431" i="12"/>
  <c r="E431" i="12"/>
  <c r="G431" i="12"/>
  <c r="C432" i="12"/>
  <c r="D432" i="12"/>
  <c r="E432" i="12"/>
  <c r="G432" i="12"/>
  <c r="C433" i="12"/>
  <c r="D433" i="12"/>
  <c r="E433" i="12"/>
  <c r="G433" i="12"/>
  <c r="C434" i="12"/>
  <c r="D434" i="12"/>
  <c r="E434" i="12"/>
  <c r="G434" i="12"/>
  <c r="C435" i="12"/>
  <c r="D435" i="12"/>
  <c r="E435" i="12"/>
  <c r="G435" i="12"/>
  <c r="C436" i="12"/>
  <c r="D436" i="12"/>
  <c r="E436" i="12"/>
  <c r="G436" i="12"/>
  <c r="C437" i="12"/>
  <c r="D437" i="12"/>
  <c r="E437" i="12"/>
  <c r="G437" i="12"/>
  <c r="C438" i="12"/>
  <c r="D438" i="12"/>
  <c r="E438" i="12"/>
  <c r="G438" i="12"/>
  <c r="C439" i="12"/>
  <c r="D439" i="12"/>
  <c r="G439" i="12"/>
  <c r="C440" i="12"/>
  <c r="D440" i="12"/>
  <c r="E440" i="12"/>
  <c r="G440" i="12"/>
  <c r="C441" i="12"/>
  <c r="D441" i="12"/>
  <c r="E441" i="12"/>
  <c r="G441" i="12"/>
  <c r="C442" i="12"/>
  <c r="D442" i="12"/>
  <c r="E442" i="12"/>
  <c r="G442" i="12"/>
  <c r="C443" i="12"/>
  <c r="D443" i="12"/>
  <c r="E443" i="12"/>
  <c r="G443" i="12"/>
  <c r="C444" i="12"/>
  <c r="D444" i="12"/>
  <c r="E444" i="12"/>
  <c r="G444" i="12"/>
  <c r="C445" i="12"/>
  <c r="D445" i="12"/>
  <c r="E445" i="12"/>
  <c r="G445" i="12"/>
  <c r="C446" i="12"/>
  <c r="D446" i="12"/>
  <c r="E446" i="12"/>
  <c r="G446" i="12"/>
  <c r="C447" i="12"/>
  <c r="D447" i="12"/>
  <c r="E447" i="12"/>
  <c r="G447" i="12"/>
  <c r="C448" i="12"/>
  <c r="D448" i="12"/>
  <c r="E448" i="12"/>
  <c r="G448" i="12"/>
  <c r="C449" i="12"/>
  <c r="D449" i="12"/>
  <c r="E449" i="12"/>
  <c r="G449" i="12"/>
  <c r="C450" i="12"/>
  <c r="D450" i="12"/>
  <c r="E450" i="12"/>
  <c r="G450" i="12"/>
  <c r="C451" i="12"/>
  <c r="D451" i="12"/>
  <c r="E451" i="12"/>
  <c r="G451" i="12"/>
  <c r="C452" i="12"/>
  <c r="D452" i="12"/>
  <c r="E452" i="12"/>
  <c r="G452" i="12"/>
  <c r="C453" i="12"/>
  <c r="D453" i="12"/>
  <c r="E453" i="12"/>
  <c r="G453" i="12"/>
  <c r="C454" i="12"/>
  <c r="D454" i="12"/>
  <c r="E454" i="12"/>
  <c r="G454" i="12"/>
  <c r="C455" i="12"/>
  <c r="D455" i="12"/>
  <c r="E455" i="12"/>
  <c r="G455" i="12"/>
  <c r="C456" i="12"/>
  <c r="D456" i="12"/>
  <c r="E456" i="12"/>
  <c r="G456" i="12"/>
  <c r="C457" i="12"/>
  <c r="D457" i="12"/>
  <c r="E457" i="12"/>
  <c r="G457" i="12"/>
  <c r="C458" i="12"/>
  <c r="D458" i="12"/>
  <c r="E458" i="12"/>
  <c r="G458" i="12"/>
  <c r="C459" i="12"/>
  <c r="D459" i="12"/>
  <c r="E459" i="12"/>
  <c r="G459" i="12"/>
  <c r="C460" i="12"/>
  <c r="D460" i="12"/>
  <c r="E460" i="12"/>
  <c r="G460" i="12"/>
  <c r="C461" i="12"/>
  <c r="D461" i="12"/>
  <c r="E461" i="12"/>
  <c r="G461" i="12"/>
  <c r="C462" i="12"/>
  <c r="D462" i="12"/>
  <c r="E462" i="12"/>
  <c r="G462" i="12"/>
  <c r="C463" i="12"/>
  <c r="D463" i="12"/>
  <c r="E463" i="12"/>
  <c r="G463" i="12"/>
  <c r="C464" i="12"/>
  <c r="D464" i="12"/>
  <c r="E464" i="12"/>
  <c r="G464" i="12"/>
  <c r="C465" i="12"/>
  <c r="D465" i="12"/>
  <c r="E465" i="12"/>
  <c r="G465" i="12"/>
  <c r="C466" i="12"/>
  <c r="D466" i="12"/>
  <c r="E466" i="12"/>
  <c r="G466" i="12"/>
  <c r="C467" i="12"/>
  <c r="D467" i="12"/>
  <c r="E467" i="12"/>
  <c r="G467" i="12"/>
  <c r="C468" i="12"/>
  <c r="D468" i="12"/>
  <c r="E468" i="12"/>
  <c r="G468" i="12"/>
  <c r="C469" i="12"/>
  <c r="D469" i="12"/>
  <c r="E469" i="12"/>
  <c r="G469" i="12"/>
  <c r="C470" i="12"/>
  <c r="D470" i="12"/>
  <c r="E470" i="12"/>
  <c r="G470" i="12"/>
  <c r="C471" i="12"/>
  <c r="D471" i="12"/>
  <c r="E471" i="12"/>
  <c r="G471" i="12"/>
  <c r="C472" i="12"/>
  <c r="D472" i="12"/>
  <c r="E472" i="12"/>
  <c r="G472" i="12"/>
  <c r="C473" i="12"/>
  <c r="D473" i="12"/>
  <c r="E473" i="12"/>
  <c r="G473" i="12"/>
  <c r="C474" i="12"/>
  <c r="D474" i="12"/>
  <c r="E474" i="12"/>
  <c r="G474" i="12"/>
  <c r="C475" i="12"/>
  <c r="D475" i="12"/>
  <c r="E475" i="12"/>
  <c r="G475" i="12"/>
  <c r="C476" i="12"/>
  <c r="D476" i="12"/>
  <c r="E476" i="12"/>
  <c r="G476" i="12"/>
  <c r="C477" i="12"/>
  <c r="D477" i="12"/>
  <c r="E477" i="12"/>
  <c r="G477" i="12"/>
  <c r="C478" i="12"/>
  <c r="D478" i="12"/>
  <c r="E478" i="12"/>
  <c r="G478" i="12"/>
  <c r="C479" i="12"/>
  <c r="D479" i="12"/>
  <c r="E479" i="12"/>
  <c r="G479" i="12"/>
  <c r="C480" i="12"/>
  <c r="D480" i="12"/>
  <c r="E480" i="12"/>
  <c r="G480" i="12"/>
  <c r="C481" i="12"/>
  <c r="D481" i="12"/>
  <c r="E481" i="12"/>
  <c r="G481" i="12"/>
  <c r="C482" i="12"/>
  <c r="D482" i="12"/>
  <c r="E482" i="12"/>
  <c r="G482" i="12"/>
  <c r="C483" i="12"/>
  <c r="D483" i="12"/>
  <c r="E483" i="12"/>
  <c r="G483" i="12"/>
  <c r="C484" i="12"/>
  <c r="D484" i="12"/>
  <c r="E484" i="12"/>
  <c r="G484" i="12"/>
  <c r="C485" i="12"/>
  <c r="D485" i="12"/>
  <c r="E485" i="12"/>
  <c r="G485" i="12"/>
  <c r="C486" i="12"/>
  <c r="D486" i="12"/>
  <c r="E486" i="12"/>
  <c r="G486" i="12"/>
  <c r="C487" i="12"/>
  <c r="D487" i="12"/>
  <c r="E487" i="12"/>
  <c r="G487" i="12"/>
  <c r="C488" i="12"/>
  <c r="D488" i="12"/>
  <c r="E488" i="12"/>
  <c r="G488" i="12"/>
  <c r="C489" i="12"/>
  <c r="D489" i="12"/>
  <c r="E489" i="12"/>
  <c r="G489" i="12"/>
  <c r="C490" i="12"/>
  <c r="D490" i="12"/>
  <c r="E490" i="12"/>
  <c r="G490" i="12"/>
  <c r="C491" i="12"/>
  <c r="D491" i="12"/>
  <c r="E491" i="12"/>
  <c r="G491" i="12"/>
  <c r="C492" i="12"/>
  <c r="D492" i="12"/>
  <c r="E492" i="12"/>
  <c r="G492" i="12"/>
  <c r="C493" i="12"/>
  <c r="D493" i="12"/>
  <c r="E493" i="12"/>
  <c r="G493" i="12"/>
  <c r="C494" i="12"/>
  <c r="D494" i="12"/>
  <c r="E494" i="12"/>
  <c r="G494" i="12"/>
  <c r="C495" i="12"/>
  <c r="D495" i="12"/>
  <c r="E495" i="12"/>
  <c r="G495" i="12"/>
  <c r="C496" i="12"/>
  <c r="D496" i="12"/>
  <c r="E496" i="12"/>
  <c r="G496" i="12"/>
  <c r="C497" i="12"/>
  <c r="D497" i="12"/>
  <c r="E497" i="12"/>
  <c r="G497" i="12"/>
  <c r="C498" i="12"/>
  <c r="D498" i="12"/>
  <c r="E498" i="12"/>
  <c r="G498" i="12"/>
  <c r="C499" i="12"/>
  <c r="D499" i="12"/>
  <c r="E499" i="12"/>
  <c r="G499" i="12"/>
  <c r="C500" i="12"/>
  <c r="D500" i="12"/>
  <c r="E500" i="12"/>
  <c r="G500" i="12"/>
  <c r="D8" i="12"/>
  <c r="C8" i="12"/>
  <c r="E126" i="12" l="1"/>
  <c r="E116" i="12"/>
  <c r="M160" i="3"/>
  <c r="E157" i="12"/>
  <c r="M76" i="3"/>
  <c r="E73" i="12"/>
  <c r="M66" i="3"/>
  <c r="E63" i="12"/>
  <c r="M102" i="3"/>
  <c r="E99" i="12"/>
  <c r="M116" i="3"/>
  <c r="E113" i="12"/>
  <c r="M48" i="3"/>
  <c r="E45" i="12"/>
  <c r="M88" i="3"/>
  <c r="E85" i="12"/>
  <c r="M92" i="3"/>
  <c r="E89" i="12"/>
  <c r="M130" i="3"/>
  <c r="E127" i="12"/>
  <c r="E385" i="12"/>
  <c r="E291" i="12"/>
  <c r="E239" i="12"/>
  <c r="E213" i="12"/>
  <c r="E205" i="12"/>
  <c r="E179" i="12"/>
  <c r="E175" i="12"/>
  <c r="E161" i="12"/>
  <c r="E439" i="12"/>
  <c r="E361" i="12"/>
  <c r="O458" i="3"/>
  <c r="L455" i="12" s="1"/>
  <c r="O455" i="12" s="1"/>
  <c r="O456" i="3"/>
  <c r="O454" i="3"/>
  <c r="O452" i="3"/>
  <c r="O450" i="3"/>
  <c r="O448" i="3"/>
  <c r="O446" i="3"/>
  <c r="O444" i="3"/>
  <c r="O442" i="3"/>
  <c r="L439" i="12" s="1"/>
  <c r="O439" i="12" s="1"/>
  <c r="O440" i="3"/>
  <c r="O438" i="3"/>
  <c r="O436" i="3"/>
  <c r="O434" i="3"/>
  <c r="O432" i="3"/>
  <c r="O430" i="3"/>
  <c r="O428" i="3"/>
  <c r="O426" i="3"/>
  <c r="L423" i="12" s="1"/>
  <c r="O423" i="12" s="1"/>
  <c r="O424" i="3"/>
  <c r="O422" i="3"/>
  <c r="O420" i="3"/>
  <c r="O418" i="3"/>
  <c r="O416" i="3"/>
  <c r="O414" i="3"/>
  <c r="O412" i="3"/>
  <c r="O410" i="3"/>
  <c r="L407" i="12" s="1"/>
  <c r="O407" i="12" s="1"/>
  <c r="O408" i="3"/>
  <c r="O406" i="3"/>
  <c r="O404" i="3"/>
  <c r="O402" i="3"/>
  <c r="O400" i="3"/>
  <c r="O398" i="3"/>
  <c r="O396" i="3"/>
  <c r="O394" i="3"/>
  <c r="L391" i="12" s="1"/>
  <c r="O391" i="12" s="1"/>
  <c r="O392" i="3"/>
  <c r="O390" i="3"/>
  <c r="O388" i="3"/>
  <c r="O382" i="3"/>
  <c r="O378" i="3"/>
  <c r="L375" i="12" s="1"/>
  <c r="O375" i="12" s="1"/>
  <c r="O376" i="3"/>
  <c r="O372" i="3"/>
  <c r="O368" i="3"/>
  <c r="O364" i="3"/>
  <c r="O358" i="3"/>
  <c r="O352" i="3"/>
  <c r="O344" i="3"/>
  <c r="O340" i="3"/>
  <c r="L337" i="12" s="1"/>
  <c r="O330" i="3"/>
  <c r="O326" i="3"/>
  <c r="O320" i="3"/>
  <c r="O316" i="3"/>
  <c r="O312" i="3"/>
  <c r="O306" i="3"/>
  <c r="O298" i="3"/>
  <c r="O294" i="3"/>
  <c r="O284" i="3"/>
  <c r="O280" i="3"/>
  <c r="O276" i="3"/>
  <c r="O272" i="3"/>
  <c r="O262" i="3"/>
  <c r="O258" i="3"/>
  <c r="O254" i="3"/>
  <c r="O250" i="3"/>
  <c r="L247" i="12" s="1"/>
  <c r="O247" i="12" s="1"/>
  <c r="O246" i="3"/>
  <c r="O242" i="3"/>
  <c r="O232" i="3"/>
  <c r="O220" i="3"/>
  <c r="O216" i="3"/>
  <c r="O212" i="3"/>
  <c r="O208" i="3"/>
  <c r="O198" i="3"/>
  <c r="O194" i="3"/>
  <c r="O188" i="3"/>
  <c r="O182" i="3"/>
  <c r="O178" i="3"/>
  <c r="O172" i="3"/>
  <c r="O164" i="3"/>
  <c r="O160" i="3"/>
  <c r="O158" i="3"/>
  <c r="O154" i="3"/>
  <c r="O140" i="3"/>
  <c r="O134" i="3"/>
  <c r="O130" i="3"/>
  <c r="O126" i="3"/>
  <c r="O116" i="3"/>
  <c r="O110" i="3"/>
  <c r="O493" i="3"/>
  <c r="O491" i="3"/>
  <c r="O489" i="3"/>
  <c r="O487" i="3"/>
  <c r="O485" i="3"/>
  <c r="O483" i="3"/>
  <c r="O481" i="3"/>
  <c r="O479" i="3"/>
  <c r="O477" i="3"/>
  <c r="O475" i="3"/>
  <c r="O473" i="3"/>
  <c r="O471" i="3"/>
  <c r="O469" i="3"/>
  <c r="O467" i="3"/>
  <c r="O465" i="3"/>
  <c r="O463" i="3"/>
  <c r="O461" i="3"/>
  <c r="O459" i="3"/>
  <c r="O457" i="3"/>
  <c r="O455" i="3"/>
  <c r="O453" i="3"/>
  <c r="O451" i="3"/>
  <c r="O449" i="3"/>
  <c r="O447" i="3"/>
  <c r="O445" i="3"/>
  <c r="O443" i="3"/>
  <c r="O441" i="3"/>
  <c r="O439" i="3"/>
  <c r="O437" i="3"/>
  <c r="O435" i="3"/>
  <c r="O433" i="3"/>
  <c r="O431" i="3"/>
  <c r="O429" i="3"/>
  <c r="O427" i="3"/>
  <c r="O425" i="3"/>
  <c r="O423" i="3"/>
  <c r="O421" i="3"/>
  <c r="O419" i="3"/>
  <c r="O417" i="3"/>
  <c r="O415" i="3"/>
  <c r="O413" i="3"/>
  <c r="O411" i="3"/>
  <c r="O409" i="3"/>
  <c r="O407" i="3"/>
  <c r="O405" i="3"/>
  <c r="O403" i="3"/>
  <c r="O401" i="3"/>
  <c r="O399" i="3"/>
  <c r="O397" i="3"/>
  <c r="O395" i="3"/>
  <c r="O393" i="3"/>
  <c r="O391" i="3"/>
  <c r="O389" i="3"/>
  <c r="O387" i="3"/>
  <c r="O385" i="3"/>
  <c r="O383" i="3"/>
  <c r="O381" i="3"/>
  <c r="O379" i="3"/>
  <c r="O377" i="3"/>
  <c r="O375" i="3"/>
  <c r="O373" i="3"/>
  <c r="O371" i="3"/>
  <c r="O369" i="3"/>
  <c r="O367" i="3"/>
  <c r="O365" i="3"/>
  <c r="O363" i="3"/>
  <c r="O361" i="3"/>
  <c r="O359" i="3"/>
  <c r="O357" i="3"/>
  <c r="O355" i="3"/>
  <c r="O353" i="3"/>
  <c r="O351" i="3"/>
  <c r="O349" i="3"/>
  <c r="O347" i="3"/>
  <c r="O345" i="3"/>
  <c r="O343" i="3"/>
  <c r="O341" i="3"/>
  <c r="O339" i="3"/>
  <c r="O337" i="3"/>
  <c r="O335" i="3"/>
  <c r="O333" i="3"/>
  <c r="O331" i="3"/>
  <c r="O329" i="3"/>
  <c r="O327" i="3"/>
  <c r="O325" i="3"/>
  <c r="O323" i="3"/>
  <c r="O321" i="3"/>
  <c r="O319" i="3"/>
  <c r="O317" i="3"/>
  <c r="O315" i="3"/>
  <c r="O313" i="3"/>
  <c r="O311" i="3"/>
  <c r="O309" i="3"/>
  <c r="O307" i="3"/>
  <c r="O305" i="3"/>
  <c r="O303" i="3"/>
  <c r="O301" i="3"/>
  <c r="O299" i="3"/>
  <c r="O297" i="3"/>
  <c r="O295" i="3"/>
  <c r="O293" i="3"/>
  <c r="O291" i="3"/>
  <c r="O289" i="3"/>
  <c r="O287" i="3"/>
  <c r="O285" i="3"/>
  <c r="O283" i="3"/>
  <c r="O281" i="3"/>
  <c r="O279" i="3"/>
  <c r="O277" i="3"/>
  <c r="O275" i="3"/>
  <c r="O273" i="3"/>
  <c r="O271" i="3"/>
  <c r="O269" i="3"/>
  <c r="O267" i="3"/>
  <c r="O265" i="3"/>
  <c r="O263" i="3"/>
  <c r="O261" i="3"/>
  <c r="O259" i="3"/>
  <c r="O257" i="3"/>
  <c r="O255" i="3"/>
  <c r="O253" i="3"/>
  <c r="O251" i="3"/>
  <c r="O249" i="3"/>
  <c r="O247" i="3"/>
  <c r="O245" i="3"/>
  <c r="O243" i="3"/>
  <c r="O241" i="3"/>
  <c r="O239" i="3"/>
  <c r="O237" i="3"/>
  <c r="O235" i="3"/>
  <c r="O233" i="3"/>
  <c r="O231" i="3"/>
  <c r="O229" i="3"/>
  <c r="O227" i="3"/>
  <c r="O225" i="3"/>
  <c r="O223" i="3"/>
  <c r="O221" i="3"/>
  <c r="O219" i="3"/>
  <c r="O28" i="3"/>
  <c r="E9" i="12"/>
  <c r="F9" i="12" s="1"/>
  <c r="E16" i="12"/>
  <c r="F16" i="12" s="1"/>
  <c r="O217" i="3"/>
  <c r="O215" i="3"/>
  <c r="O213" i="3"/>
  <c r="O211" i="3"/>
  <c r="L208" i="12" s="1"/>
  <c r="O208" i="12" s="1"/>
  <c r="O209" i="3"/>
  <c r="O207" i="3"/>
  <c r="O205" i="3"/>
  <c r="O203" i="3"/>
  <c r="O201" i="3"/>
  <c r="O199" i="3"/>
  <c r="O197" i="3"/>
  <c r="O195" i="3"/>
  <c r="L192" i="12" s="1"/>
  <c r="O192" i="12" s="1"/>
  <c r="O193" i="3"/>
  <c r="O191" i="3"/>
  <c r="O189" i="3"/>
  <c r="O187" i="3"/>
  <c r="O185" i="3"/>
  <c r="O183" i="3"/>
  <c r="O181" i="3"/>
  <c r="O179" i="3"/>
  <c r="L176" i="12" s="1"/>
  <c r="O176" i="12" s="1"/>
  <c r="O177" i="3"/>
  <c r="O175" i="3"/>
  <c r="O173" i="3"/>
  <c r="O171" i="3"/>
  <c r="O169" i="3"/>
  <c r="O167" i="3"/>
  <c r="O165" i="3"/>
  <c r="O163" i="3"/>
  <c r="L160" i="12" s="1"/>
  <c r="O160" i="12" s="1"/>
  <c r="O161" i="3"/>
  <c r="O159" i="3"/>
  <c r="O157" i="3"/>
  <c r="O155" i="3"/>
  <c r="O153" i="3"/>
  <c r="O151" i="3"/>
  <c r="O149" i="3"/>
  <c r="O147" i="3"/>
  <c r="L144" i="12" s="1"/>
  <c r="O144" i="12" s="1"/>
  <c r="O145" i="3"/>
  <c r="O143" i="3"/>
  <c r="O141" i="3"/>
  <c r="O139" i="3"/>
  <c r="O137" i="3"/>
  <c r="O135" i="3"/>
  <c r="O133" i="3"/>
  <c r="O131" i="3"/>
  <c r="L128" i="12" s="1"/>
  <c r="O128" i="12" s="1"/>
  <c r="O129" i="3"/>
  <c r="O127" i="3"/>
  <c r="O125" i="3"/>
  <c r="O123" i="3"/>
  <c r="O121" i="3"/>
  <c r="O119" i="3"/>
  <c r="O117" i="3"/>
  <c r="O115" i="3"/>
  <c r="L112" i="12" s="1"/>
  <c r="O112" i="12" s="1"/>
  <c r="O113" i="3"/>
  <c r="O111" i="3"/>
  <c r="M34" i="3"/>
  <c r="M28" i="3"/>
  <c r="M24" i="3"/>
  <c r="E19" i="12"/>
  <c r="F19" i="12" s="1"/>
  <c r="O25" i="15"/>
  <c r="E13" i="12"/>
  <c r="F13" i="12" s="1"/>
  <c r="M31" i="3"/>
  <c r="E26" i="12"/>
  <c r="F26" i="12" s="1"/>
  <c r="E10" i="12"/>
  <c r="F10" i="12" s="1"/>
  <c r="N25" i="15"/>
  <c r="M11" i="3"/>
  <c r="O27" i="3"/>
  <c r="L24" i="12" s="1"/>
  <c r="O24" i="12" s="1"/>
  <c r="P24" i="12" s="1"/>
  <c r="M17" i="3"/>
  <c r="E42" i="12"/>
  <c r="E37" i="12"/>
  <c r="F37" i="12" s="1"/>
  <c r="E11" i="12"/>
  <c r="F11" i="12" s="1"/>
  <c r="M30" i="3"/>
  <c r="M23" i="3"/>
  <c r="O29" i="3"/>
  <c r="L26" i="12" s="1"/>
  <c r="N26" i="12" s="1"/>
  <c r="O22" i="3"/>
  <c r="O31" i="3"/>
  <c r="L28" i="12" s="1"/>
  <c r="O28" i="12" s="1"/>
  <c r="O24" i="3"/>
  <c r="L21" i="12" s="1"/>
  <c r="N21" i="12" s="1"/>
  <c r="O36" i="3"/>
  <c r="L33" i="12" s="1"/>
  <c r="P33" i="12" s="1"/>
  <c r="F499" i="12"/>
  <c r="L499" i="12"/>
  <c r="F495" i="12"/>
  <c r="F491" i="12"/>
  <c r="F487" i="12"/>
  <c r="F483" i="12"/>
  <c r="F480" i="12"/>
  <c r="F476" i="12"/>
  <c r="F472" i="12"/>
  <c r="F468" i="12"/>
  <c r="F464" i="12"/>
  <c r="F461" i="12"/>
  <c r="F457" i="12"/>
  <c r="F453" i="12"/>
  <c r="F449" i="12"/>
  <c r="F445" i="12"/>
  <c r="F442" i="12"/>
  <c r="F438" i="12"/>
  <c r="F433" i="12"/>
  <c r="F429" i="12"/>
  <c r="F425" i="12"/>
  <c r="F421" i="12"/>
  <c r="F417" i="12"/>
  <c r="F413" i="12"/>
  <c r="F409" i="12"/>
  <c r="F405" i="12"/>
  <c r="F401" i="12"/>
  <c r="F397" i="12"/>
  <c r="F393" i="12"/>
  <c r="F389" i="12"/>
  <c r="F385" i="12"/>
  <c r="F381" i="12"/>
  <c r="F375" i="12"/>
  <c r="F371" i="12"/>
  <c r="F367" i="12"/>
  <c r="F363" i="12"/>
  <c r="F359" i="12"/>
  <c r="F355" i="12"/>
  <c r="F350" i="12"/>
  <c r="F346" i="12"/>
  <c r="F341" i="12"/>
  <c r="F337" i="12"/>
  <c r="F333" i="12"/>
  <c r="F329" i="12"/>
  <c r="F325" i="12"/>
  <c r="F322" i="12"/>
  <c r="F319" i="12"/>
  <c r="F315" i="12"/>
  <c r="F311" i="12"/>
  <c r="F306" i="12"/>
  <c r="F302" i="12"/>
  <c r="F297" i="12"/>
  <c r="F292" i="12"/>
  <c r="F288" i="12"/>
  <c r="F284" i="12"/>
  <c r="F281" i="12"/>
  <c r="F276" i="12"/>
  <c r="F271" i="12"/>
  <c r="F267" i="12"/>
  <c r="F263" i="12"/>
  <c r="F259" i="12"/>
  <c r="F254" i="12"/>
  <c r="F250" i="12"/>
  <c r="F246" i="12"/>
  <c r="F242" i="12"/>
  <c r="F238" i="12"/>
  <c r="F235" i="12"/>
  <c r="F230" i="12"/>
  <c r="F225" i="12"/>
  <c r="F221" i="12"/>
  <c r="F217" i="12"/>
  <c r="F213" i="12"/>
  <c r="F209" i="12"/>
  <c r="F203" i="12"/>
  <c r="F163" i="12"/>
  <c r="L500" i="12"/>
  <c r="O500" i="12" s="1"/>
  <c r="F500" i="12"/>
  <c r="F496" i="12"/>
  <c r="F492" i="12"/>
  <c r="F488" i="12"/>
  <c r="F484" i="12"/>
  <c r="F479" i="12"/>
  <c r="F475" i="12"/>
  <c r="F471" i="12"/>
  <c r="F466" i="12"/>
  <c r="F460" i="12"/>
  <c r="F456" i="12"/>
  <c r="F451" i="12"/>
  <c r="F446" i="12"/>
  <c r="F441" i="12"/>
  <c r="F437" i="12"/>
  <c r="F434" i="12"/>
  <c r="F430" i="12"/>
  <c r="F426" i="12"/>
  <c r="F422" i="12"/>
  <c r="F418" i="12"/>
  <c r="F414" i="12"/>
  <c r="F410" i="12"/>
  <c r="F406" i="12"/>
  <c r="F402" i="12"/>
  <c r="F398" i="12"/>
  <c r="F394" i="12"/>
  <c r="F390" i="12"/>
  <c r="F386" i="12"/>
  <c r="F382" i="12"/>
  <c r="F378" i="12"/>
  <c r="F374" i="12"/>
  <c r="F370" i="12"/>
  <c r="F365" i="12"/>
  <c r="F361" i="12"/>
  <c r="F357" i="12"/>
  <c r="F353" i="12"/>
  <c r="F349" i="12"/>
  <c r="F344" i="12"/>
  <c r="F340" i="12"/>
  <c r="F336" i="12"/>
  <c r="F332" i="12"/>
  <c r="F328" i="12"/>
  <c r="F324" i="12"/>
  <c r="F320" i="12"/>
  <c r="F317" i="12"/>
  <c r="F313" i="12"/>
  <c r="F309" i="12"/>
  <c r="F305" i="12"/>
  <c r="F301" i="12"/>
  <c r="F298" i="12"/>
  <c r="F295" i="12"/>
  <c r="F291" i="12"/>
  <c r="F287" i="12"/>
  <c r="F283" i="12"/>
  <c r="F279" i="12"/>
  <c r="F274" i="12"/>
  <c r="F270" i="12"/>
  <c r="F266" i="12"/>
  <c r="F261" i="12"/>
  <c r="F257" i="12"/>
  <c r="F253" i="12"/>
  <c r="F249" i="12"/>
  <c r="F245" i="12"/>
  <c r="F241" i="12"/>
  <c r="F237" i="12"/>
  <c r="F233" i="12"/>
  <c r="F231" i="12"/>
  <c r="F227" i="12"/>
  <c r="F223" i="12"/>
  <c r="F218" i="12"/>
  <c r="F214" i="12"/>
  <c r="F210" i="12"/>
  <c r="F205" i="12"/>
  <c r="F162" i="12"/>
  <c r="F498" i="12"/>
  <c r="L498" i="12"/>
  <c r="F494" i="12"/>
  <c r="F490" i="12"/>
  <c r="F486" i="12"/>
  <c r="F482" i="12"/>
  <c r="F478" i="12"/>
  <c r="F474" i="12"/>
  <c r="F470" i="12"/>
  <c r="F467" i="12"/>
  <c r="F463" i="12"/>
  <c r="F459" i="12"/>
  <c r="F455" i="12"/>
  <c r="F452" i="12"/>
  <c r="F448" i="12"/>
  <c r="F444" i="12"/>
  <c r="F440" i="12"/>
  <c r="F436" i="12"/>
  <c r="F432" i="12"/>
  <c r="F428" i="12"/>
  <c r="F424" i="12"/>
  <c r="F420" i="12"/>
  <c r="F416" i="12"/>
  <c r="F412" i="12"/>
  <c r="F408" i="12"/>
  <c r="F404" i="12"/>
  <c r="F400" i="12"/>
  <c r="F396" i="12"/>
  <c r="F392" i="12"/>
  <c r="F388" i="12"/>
  <c r="F384" i="12"/>
  <c r="F380" i="12"/>
  <c r="F377" i="12"/>
  <c r="F373" i="12"/>
  <c r="F369" i="12"/>
  <c r="F366" i="12"/>
  <c r="F362" i="12"/>
  <c r="F358" i="12"/>
  <c r="F354" i="12"/>
  <c r="F351" i="12"/>
  <c r="F347" i="12"/>
  <c r="F343" i="12"/>
  <c r="F339" i="12"/>
  <c r="F335" i="12"/>
  <c r="F330" i="12"/>
  <c r="F326" i="12"/>
  <c r="F321" i="12"/>
  <c r="F316" i="12"/>
  <c r="F312" i="12"/>
  <c r="F308" i="12"/>
  <c r="F304" i="12"/>
  <c r="F300" i="12"/>
  <c r="F296" i="12"/>
  <c r="F293" i="12"/>
  <c r="F289" i="12"/>
  <c r="F285" i="12"/>
  <c r="F280" i="12"/>
  <c r="F277" i="12"/>
  <c r="F273" i="12"/>
  <c r="F269" i="12"/>
  <c r="F265" i="12"/>
  <c r="F262" i="12"/>
  <c r="F258" i="12"/>
  <c r="F255" i="12"/>
  <c r="F252" i="12"/>
  <c r="F248" i="12"/>
  <c r="F244" i="12"/>
  <c r="F240" i="12"/>
  <c r="F234" i="12"/>
  <c r="F229" i="12"/>
  <c r="F226" i="12"/>
  <c r="F222" i="12"/>
  <c r="F219" i="12"/>
  <c r="F215" i="12"/>
  <c r="F211" i="12"/>
  <c r="F207" i="12"/>
  <c r="F206" i="12"/>
  <c r="F204" i="12"/>
  <c r="F201" i="12"/>
  <c r="F200" i="12"/>
  <c r="F199" i="12"/>
  <c r="F198" i="12"/>
  <c r="F197" i="12"/>
  <c r="F196" i="12"/>
  <c r="F195" i="12"/>
  <c r="F194" i="12"/>
  <c r="F193" i="12"/>
  <c r="F192" i="12"/>
  <c r="F191" i="12"/>
  <c r="F190" i="12"/>
  <c r="F189" i="12"/>
  <c r="F188" i="12"/>
  <c r="F187" i="12"/>
  <c r="F186" i="12"/>
  <c r="F185" i="12"/>
  <c r="F184" i="12"/>
  <c r="F183" i="12"/>
  <c r="F182" i="12"/>
  <c r="F181" i="12"/>
  <c r="F180" i="12"/>
  <c r="F179" i="12"/>
  <c r="F178" i="12"/>
  <c r="F177" i="12"/>
  <c r="F176" i="12"/>
  <c r="F175" i="12"/>
  <c r="F174" i="12"/>
  <c r="F173" i="12"/>
  <c r="F172" i="12"/>
  <c r="F171" i="12"/>
  <c r="F170" i="12"/>
  <c r="F169" i="12"/>
  <c r="F168" i="12"/>
  <c r="F167" i="12"/>
  <c r="F166" i="12"/>
  <c r="F164" i="12"/>
  <c r="F161" i="12"/>
  <c r="F160" i="12"/>
  <c r="F159" i="12"/>
  <c r="F158" i="12"/>
  <c r="F157" i="12"/>
  <c r="F156" i="12"/>
  <c r="F155" i="12"/>
  <c r="F154" i="12"/>
  <c r="F153" i="12"/>
  <c r="F152" i="12"/>
  <c r="F151" i="12"/>
  <c r="F150" i="12"/>
  <c r="F149" i="12"/>
  <c r="F148" i="12"/>
  <c r="F147" i="12"/>
  <c r="F146" i="12"/>
  <c r="F145" i="12"/>
  <c r="F144" i="12"/>
  <c r="F143" i="12"/>
  <c r="F142" i="12"/>
  <c r="F141" i="12"/>
  <c r="F140" i="12"/>
  <c r="F139" i="12"/>
  <c r="F138" i="12"/>
  <c r="F137" i="12"/>
  <c r="F136" i="12"/>
  <c r="F135" i="12"/>
  <c r="F134" i="12"/>
  <c r="F133" i="12"/>
  <c r="F132" i="12"/>
  <c r="F131" i="12"/>
  <c r="F130" i="12"/>
  <c r="F129" i="12"/>
  <c r="F128" i="12"/>
  <c r="F127" i="12"/>
  <c r="F126" i="12"/>
  <c r="F125" i="12"/>
  <c r="F124" i="12"/>
  <c r="F123" i="12"/>
  <c r="F122" i="12"/>
  <c r="F121" i="12"/>
  <c r="F120" i="12"/>
  <c r="F119" i="12"/>
  <c r="F118" i="12"/>
  <c r="F117" i="12"/>
  <c r="F116" i="12"/>
  <c r="F115" i="12"/>
  <c r="F114" i="12"/>
  <c r="F113" i="12"/>
  <c r="F112" i="12"/>
  <c r="F111" i="12"/>
  <c r="F110" i="12"/>
  <c r="F109" i="12"/>
  <c r="F108" i="12"/>
  <c r="F107" i="12"/>
  <c r="F106" i="12"/>
  <c r="F105" i="12"/>
  <c r="F104" i="12"/>
  <c r="F103" i="12"/>
  <c r="F102" i="12"/>
  <c r="F101" i="12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6" i="12"/>
  <c r="L490" i="12"/>
  <c r="L489" i="12"/>
  <c r="L488" i="12"/>
  <c r="O488" i="12" s="1"/>
  <c r="L487" i="12"/>
  <c r="O487" i="12" s="1"/>
  <c r="L486" i="12"/>
  <c r="O486" i="12" s="1"/>
  <c r="L485" i="12"/>
  <c r="L484" i="12"/>
  <c r="L483" i="12"/>
  <c r="L482" i="12"/>
  <c r="L481" i="12"/>
  <c r="L480" i="12"/>
  <c r="L479" i="12"/>
  <c r="O479" i="12" s="1"/>
  <c r="L478" i="12"/>
  <c r="L477" i="12"/>
  <c r="O477" i="12" s="1"/>
  <c r="L476" i="12"/>
  <c r="O476" i="12" s="1"/>
  <c r="L475" i="12"/>
  <c r="L474" i="12"/>
  <c r="L473" i="12"/>
  <c r="L472" i="12"/>
  <c r="O472" i="12" s="1"/>
  <c r="L471" i="12"/>
  <c r="O471" i="12" s="1"/>
  <c r="L470" i="12"/>
  <c r="O470" i="12" s="1"/>
  <c r="L469" i="12"/>
  <c r="L468" i="12"/>
  <c r="O468" i="12" s="1"/>
  <c r="L467" i="12"/>
  <c r="L466" i="12"/>
  <c r="L465" i="12"/>
  <c r="L464" i="12"/>
  <c r="L463" i="12"/>
  <c r="O463" i="12" s="1"/>
  <c r="L462" i="12"/>
  <c r="L461" i="12"/>
  <c r="L460" i="12"/>
  <c r="O460" i="12" s="1"/>
  <c r="L459" i="12"/>
  <c r="L458" i="12"/>
  <c r="O458" i="12" s="1"/>
  <c r="L457" i="12"/>
  <c r="L456" i="12"/>
  <c r="L454" i="12"/>
  <c r="L453" i="12"/>
  <c r="L452" i="12"/>
  <c r="O452" i="12" s="1"/>
  <c r="L451" i="12"/>
  <c r="O451" i="12" s="1"/>
  <c r="L450" i="12"/>
  <c r="O450" i="12" s="1"/>
  <c r="L449" i="12"/>
  <c r="L448" i="12"/>
  <c r="L447" i="12"/>
  <c r="L446" i="12"/>
  <c r="L445" i="12"/>
  <c r="L444" i="12"/>
  <c r="O444" i="12" s="1"/>
  <c r="L443" i="12"/>
  <c r="O443" i="12" s="1"/>
  <c r="L442" i="12"/>
  <c r="O442" i="12" s="1"/>
  <c r="L441" i="12"/>
  <c r="L440" i="12"/>
  <c r="O440" i="12" s="1"/>
  <c r="L438" i="12"/>
  <c r="L437" i="12"/>
  <c r="L436" i="12"/>
  <c r="O436" i="12" s="1"/>
  <c r="L435" i="12"/>
  <c r="L434" i="12"/>
  <c r="L433" i="12"/>
  <c r="L432" i="12"/>
  <c r="O432" i="12" s="1"/>
  <c r="L431" i="12"/>
  <c r="L430" i="12"/>
  <c r="L429" i="12"/>
  <c r="L428" i="12"/>
  <c r="O428" i="12" s="1"/>
  <c r="L427" i="12"/>
  <c r="O427" i="12" s="1"/>
  <c r="L426" i="12"/>
  <c r="L425" i="12"/>
  <c r="L424" i="12"/>
  <c r="O424" i="12" s="1"/>
  <c r="L422" i="12"/>
  <c r="L421" i="12"/>
  <c r="L420" i="12"/>
  <c r="O420" i="12" s="1"/>
  <c r="L419" i="12"/>
  <c r="L418" i="12"/>
  <c r="L417" i="12"/>
  <c r="L416" i="12"/>
  <c r="O416" i="12" s="1"/>
  <c r="L415" i="12"/>
  <c r="L414" i="12"/>
  <c r="L413" i="12"/>
  <c r="L412" i="12"/>
  <c r="O412" i="12" s="1"/>
  <c r="L411" i="12"/>
  <c r="O411" i="12" s="1"/>
  <c r="L410" i="12"/>
  <c r="L409" i="12"/>
  <c r="L408" i="12"/>
  <c r="O408" i="12" s="1"/>
  <c r="L406" i="12"/>
  <c r="L405" i="12"/>
  <c r="L404" i="12"/>
  <c r="O404" i="12" s="1"/>
  <c r="L403" i="12"/>
  <c r="L402" i="12"/>
  <c r="L401" i="12"/>
  <c r="L400" i="12"/>
  <c r="O400" i="12" s="1"/>
  <c r="L399" i="12"/>
  <c r="L398" i="12"/>
  <c r="L397" i="12"/>
  <c r="L396" i="12"/>
  <c r="O396" i="12" s="1"/>
  <c r="L395" i="12"/>
  <c r="O395" i="12" s="1"/>
  <c r="L394" i="12"/>
  <c r="L393" i="12"/>
  <c r="L392" i="12"/>
  <c r="O392" i="12" s="1"/>
  <c r="L390" i="12"/>
  <c r="L389" i="12"/>
  <c r="L388" i="12"/>
  <c r="O388" i="12" s="1"/>
  <c r="L387" i="12"/>
  <c r="L386" i="12"/>
  <c r="L385" i="12"/>
  <c r="L384" i="12"/>
  <c r="O384" i="12" s="1"/>
  <c r="L383" i="12"/>
  <c r="L382" i="12"/>
  <c r="L381" i="12"/>
  <c r="L380" i="12"/>
  <c r="O380" i="12" s="1"/>
  <c r="L379" i="12"/>
  <c r="O379" i="12" s="1"/>
  <c r="L378" i="12"/>
  <c r="L377" i="12"/>
  <c r="L376" i="12"/>
  <c r="O376" i="12" s="1"/>
  <c r="L374" i="12"/>
  <c r="L373" i="12"/>
  <c r="L372" i="12"/>
  <c r="L371" i="12"/>
  <c r="L370" i="12"/>
  <c r="L369" i="12"/>
  <c r="L368" i="12"/>
  <c r="O368" i="12" s="1"/>
  <c r="L367" i="12"/>
  <c r="O367" i="12" s="1"/>
  <c r="L366" i="12"/>
  <c r="L365" i="12"/>
  <c r="L364" i="12"/>
  <c r="O364" i="12" s="1"/>
  <c r="L363" i="12"/>
  <c r="L362" i="12"/>
  <c r="O362" i="12" s="1"/>
  <c r="L361" i="12"/>
  <c r="L360" i="12"/>
  <c r="O360" i="12" s="1"/>
  <c r="L359" i="12"/>
  <c r="O359" i="12" s="1"/>
  <c r="L358" i="12"/>
  <c r="L357" i="12"/>
  <c r="L356" i="12"/>
  <c r="L355" i="12"/>
  <c r="L354" i="12"/>
  <c r="O354" i="12" s="1"/>
  <c r="L353" i="12"/>
  <c r="L352" i="12"/>
  <c r="O352" i="12" s="1"/>
  <c r="L351" i="12"/>
  <c r="L350" i="12"/>
  <c r="O350" i="12" s="1"/>
  <c r="L349" i="12"/>
  <c r="L348" i="12"/>
  <c r="O348" i="12" s="1"/>
  <c r="L347" i="12"/>
  <c r="O347" i="12" s="1"/>
  <c r="L346" i="12"/>
  <c r="L345" i="12"/>
  <c r="L344" i="12"/>
  <c r="O344" i="12" s="1"/>
  <c r="L343" i="12"/>
  <c r="L342" i="12"/>
  <c r="L341" i="12"/>
  <c r="L340" i="12"/>
  <c r="L339" i="12"/>
  <c r="O339" i="12" s="1"/>
  <c r="L338" i="12"/>
  <c r="O338" i="12" s="1"/>
  <c r="L336" i="12"/>
  <c r="O336" i="12" s="1"/>
  <c r="L335" i="12"/>
  <c r="L334" i="12"/>
  <c r="L333" i="12"/>
  <c r="L332" i="12"/>
  <c r="L331" i="12"/>
  <c r="O331" i="12" s="1"/>
  <c r="L330" i="12"/>
  <c r="O330" i="12" s="1"/>
  <c r="L329" i="12"/>
  <c r="L328" i="12"/>
  <c r="O328" i="12" s="1"/>
  <c r="L327" i="12"/>
  <c r="L326" i="12"/>
  <c r="L325" i="12"/>
  <c r="L324" i="12"/>
  <c r="L323" i="12"/>
  <c r="O323" i="12" s="1"/>
  <c r="L322" i="12"/>
  <c r="L321" i="12"/>
  <c r="L320" i="12"/>
  <c r="O320" i="12" s="1"/>
  <c r="L319" i="12"/>
  <c r="O319" i="12" s="1"/>
  <c r="L318" i="12"/>
  <c r="L317" i="12"/>
  <c r="L316" i="12"/>
  <c r="O316" i="12" s="1"/>
  <c r="L315" i="12"/>
  <c r="L314" i="12"/>
  <c r="L313" i="12"/>
  <c r="L312" i="12"/>
  <c r="O312" i="12" s="1"/>
  <c r="L311" i="12"/>
  <c r="O311" i="12" s="1"/>
  <c r="L310" i="12"/>
  <c r="L309" i="12"/>
  <c r="L308" i="12"/>
  <c r="O308" i="12" s="1"/>
  <c r="L307" i="12"/>
  <c r="L306" i="12"/>
  <c r="L305" i="12"/>
  <c r="L304" i="12"/>
  <c r="O304" i="12" s="1"/>
  <c r="L303" i="12"/>
  <c r="O303" i="12" s="1"/>
  <c r="L302" i="12"/>
  <c r="O302" i="12" s="1"/>
  <c r="L301" i="12"/>
  <c r="L300" i="12"/>
  <c r="O300" i="12" s="1"/>
  <c r="L299" i="12"/>
  <c r="L298" i="12"/>
  <c r="F497" i="12"/>
  <c r="F493" i="12"/>
  <c r="O489" i="12"/>
  <c r="F489" i="12"/>
  <c r="O485" i="12"/>
  <c r="F485" i="12"/>
  <c r="O481" i="12"/>
  <c r="F481" i="12"/>
  <c r="F477" i="12"/>
  <c r="O473" i="12"/>
  <c r="F473" i="12"/>
  <c r="O469" i="12"/>
  <c r="F469" i="12"/>
  <c r="O465" i="12"/>
  <c r="F465" i="12"/>
  <c r="F462" i="12"/>
  <c r="O462" i="12"/>
  <c r="F458" i="12"/>
  <c r="O454" i="12"/>
  <c r="F454" i="12"/>
  <c r="F450" i="12"/>
  <c r="O447" i="12"/>
  <c r="F447" i="12"/>
  <c r="F443" i="12"/>
  <c r="F439" i="12"/>
  <c r="O435" i="12"/>
  <c r="F435" i="12"/>
  <c r="O431" i="12"/>
  <c r="F431" i="12"/>
  <c r="F427" i="12"/>
  <c r="F423" i="12"/>
  <c r="O419" i="12"/>
  <c r="F419" i="12"/>
  <c r="O415" i="12"/>
  <c r="F415" i="12"/>
  <c r="F411" i="12"/>
  <c r="F407" i="12"/>
  <c r="O403" i="12"/>
  <c r="F403" i="12"/>
  <c r="O399" i="12"/>
  <c r="F399" i="12"/>
  <c r="F395" i="12"/>
  <c r="F391" i="12"/>
  <c r="O387" i="12"/>
  <c r="F387" i="12"/>
  <c r="O383" i="12"/>
  <c r="F383" i="12"/>
  <c r="F379" i="12"/>
  <c r="F376" i="12"/>
  <c r="O372" i="12"/>
  <c r="F372" i="12"/>
  <c r="F368" i="12"/>
  <c r="F364" i="12"/>
  <c r="F360" i="12"/>
  <c r="O356" i="12"/>
  <c r="F356" i="12"/>
  <c r="F352" i="12"/>
  <c r="F348" i="12"/>
  <c r="F345" i="12"/>
  <c r="O342" i="12"/>
  <c r="F342" i="12"/>
  <c r="F338" i="12"/>
  <c r="O334" i="12"/>
  <c r="F334" i="12"/>
  <c r="F331" i="12"/>
  <c r="O327" i="12"/>
  <c r="F327" i="12"/>
  <c r="F323" i="12"/>
  <c r="O318" i="12"/>
  <c r="F318" i="12"/>
  <c r="F314" i="12"/>
  <c r="O310" i="12"/>
  <c r="F310" i="12"/>
  <c r="O307" i="12"/>
  <c r="F307" i="12"/>
  <c r="F303" i="12"/>
  <c r="O299" i="12"/>
  <c r="F299" i="12"/>
  <c r="F294" i="12"/>
  <c r="F290" i="12"/>
  <c r="F286" i="12"/>
  <c r="F282" i="12"/>
  <c r="F278" i="12"/>
  <c r="F275" i="12"/>
  <c r="F272" i="12"/>
  <c r="F268" i="12"/>
  <c r="F264" i="12"/>
  <c r="F260" i="12"/>
  <c r="F256" i="12"/>
  <c r="F251" i="12"/>
  <c r="F247" i="12"/>
  <c r="F243" i="12"/>
  <c r="F239" i="12"/>
  <c r="F236" i="12"/>
  <c r="F232" i="12"/>
  <c r="F228" i="12"/>
  <c r="F224" i="12"/>
  <c r="F220" i="12"/>
  <c r="F216" i="12"/>
  <c r="F212" i="12"/>
  <c r="F208" i="12"/>
  <c r="F202" i="12"/>
  <c r="F165" i="12"/>
  <c r="O500" i="3"/>
  <c r="L497" i="12" s="1"/>
  <c r="O497" i="12" s="1"/>
  <c r="O499" i="3"/>
  <c r="L496" i="12" s="1"/>
  <c r="O496" i="12" s="1"/>
  <c r="O498" i="3"/>
  <c r="L495" i="12" s="1"/>
  <c r="O495" i="12" s="1"/>
  <c r="O497" i="3"/>
  <c r="L494" i="12" s="1"/>
  <c r="O496" i="3"/>
  <c r="L493" i="12" s="1"/>
  <c r="O493" i="12" s="1"/>
  <c r="O495" i="3"/>
  <c r="L492" i="12" s="1"/>
  <c r="O494" i="3"/>
  <c r="L491" i="12" s="1"/>
  <c r="L297" i="12"/>
  <c r="L296" i="12"/>
  <c r="O296" i="12" s="1"/>
  <c r="L295" i="12"/>
  <c r="L294" i="12"/>
  <c r="O294" i="12" s="1"/>
  <c r="L293" i="12"/>
  <c r="L292" i="12"/>
  <c r="O292" i="12" s="1"/>
  <c r="L291" i="12"/>
  <c r="O291" i="12" s="1"/>
  <c r="L290" i="12"/>
  <c r="L289" i="12"/>
  <c r="L288" i="12"/>
  <c r="O288" i="12" s="1"/>
  <c r="L287" i="12"/>
  <c r="L286" i="12"/>
  <c r="O286" i="12" s="1"/>
  <c r="L285" i="12"/>
  <c r="L284" i="12"/>
  <c r="O284" i="12" s="1"/>
  <c r="L283" i="12"/>
  <c r="O283" i="12" s="1"/>
  <c r="L282" i="12"/>
  <c r="L281" i="12"/>
  <c r="L280" i="12"/>
  <c r="O280" i="12" s="1"/>
  <c r="L279" i="12"/>
  <c r="L278" i="12"/>
  <c r="O278" i="12" s="1"/>
  <c r="L277" i="12"/>
  <c r="L276" i="12"/>
  <c r="O276" i="12" s="1"/>
  <c r="L275" i="12"/>
  <c r="L274" i="12"/>
  <c r="L273" i="12"/>
  <c r="L272" i="12"/>
  <c r="O272" i="12" s="1"/>
  <c r="L271" i="12"/>
  <c r="L270" i="12"/>
  <c r="L269" i="12"/>
  <c r="L268" i="12"/>
  <c r="O268" i="12" s="1"/>
  <c r="L267" i="12"/>
  <c r="O267" i="12" s="1"/>
  <c r="L266" i="12"/>
  <c r="L265" i="12"/>
  <c r="L264" i="12"/>
  <c r="O264" i="12" s="1"/>
  <c r="L263" i="12"/>
  <c r="L262" i="12"/>
  <c r="L261" i="12"/>
  <c r="L260" i="12"/>
  <c r="O260" i="12" s="1"/>
  <c r="L259" i="12"/>
  <c r="O259" i="12" s="1"/>
  <c r="L258" i="12"/>
  <c r="O258" i="12" s="1"/>
  <c r="L257" i="12"/>
  <c r="L256" i="12"/>
  <c r="O256" i="12" s="1"/>
  <c r="L255" i="12"/>
  <c r="L254" i="12"/>
  <c r="L253" i="12"/>
  <c r="L252" i="12"/>
  <c r="O252" i="12" s="1"/>
  <c r="L251" i="12"/>
  <c r="L250" i="12"/>
  <c r="O250" i="12" s="1"/>
  <c r="L249" i="12"/>
  <c r="L248" i="12"/>
  <c r="O248" i="12" s="1"/>
  <c r="L246" i="12"/>
  <c r="L245" i="12"/>
  <c r="L244" i="12"/>
  <c r="O244" i="12" s="1"/>
  <c r="L243" i="12"/>
  <c r="L242" i="12"/>
  <c r="O242" i="12" s="1"/>
  <c r="L241" i="12"/>
  <c r="L240" i="12"/>
  <c r="O240" i="12" s="1"/>
  <c r="L239" i="12"/>
  <c r="O239" i="12" s="1"/>
  <c r="L238" i="12"/>
  <c r="L237" i="12"/>
  <c r="L236" i="12"/>
  <c r="O236" i="12" s="1"/>
  <c r="L235" i="12"/>
  <c r="O235" i="12" s="1"/>
  <c r="L234" i="12"/>
  <c r="O234" i="12" s="1"/>
  <c r="L233" i="12"/>
  <c r="L232" i="12"/>
  <c r="O232" i="12" s="1"/>
  <c r="L231" i="12"/>
  <c r="L230" i="12"/>
  <c r="L229" i="12"/>
  <c r="L228" i="12"/>
  <c r="O228" i="12" s="1"/>
  <c r="L227" i="12"/>
  <c r="O227" i="12" s="1"/>
  <c r="L226" i="12"/>
  <c r="O226" i="12" s="1"/>
  <c r="L225" i="12"/>
  <c r="L224" i="12"/>
  <c r="O224" i="12" s="1"/>
  <c r="L223" i="12"/>
  <c r="L222" i="12"/>
  <c r="L221" i="12"/>
  <c r="L220" i="12"/>
  <c r="O220" i="12" s="1"/>
  <c r="L219" i="12"/>
  <c r="O219" i="12" s="1"/>
  <c r="L218" i="12"/>
  <c r="L217" i="12"/>
  <c r="L216" i="12"/>
  <c r="O216" i="12" s="1"/>
  <c r="L215" i="12"/>
  <c r="L214" i="12"/>
  <c r="L213" i="12"/>
  <c r="L212" i="12"/>
  <c r="O212" i="12" s="1"/>
  <c r="L211" i="12"/>
  <c r="O211" i="12" s="1"/>
  <c r="L210" i="12"/>
  <c r="L209" i="12"/>
  <c r="L207" i="12"/>
  <c r="L206" i="12"/>
  <c r="O206" i="12" s="1"/>
  <c r="L205" i="12"/>
  <c r="L204" i="12"/>
  <c r="O204" i="12" s="1"/>
  <c r="L203" i="12"/>
  <c r="L202" i="12"/>
  <c r="L201" i="12"/>
  <c r="L200" i="12"/>
  <c r="O200" i="12" s="1"/>
  <c r="L199" i="12"/>
  <c r="O199" i="12" s="1"/>
  <c r="L198" i="12"/>
  <c r="L197" i="12"/>
  <c r="L196" i="12"/>
  <c r="O196" i="12" s="1"/>
  <c r="L195" i="12"/>
  <c r="O195" i="12" s="1"/>
  <c r="L194" i="12"/>
  <c r="L193" i="12"/>
  <c r="L191" i="12"/>
  <c r="O191" i="12" s="1"/>
  <c r="L190" i="12"/>
  <c r="L189" i="12"/>
  <c r="L188" i="12"/>
  <c r="O188" i="12" s="1"/>
  <c r="L187" i="12"/>
  <c r="O187" i="12" s="1"/>
  <c r="L186" i="12"/>
  <c r="L185" i="12"/>
  <c r="L184" i="12"/>
  <c r="O184" i="12" s="1"/>
  <c r="L183" i="12"/>
  <c r="O183" i="12" s="1"/>
  <c r="L182" i="12"/>
  <c r="L181" i="12"/>
  <c r="L180" i="12"/>
  <c r="O180" i="12" s="1"/>
  <c r="L179" i="12"/>
  <c r="O179" i="12" s="1"/>
  <c r="L178" i="12"/>
  <c r="L177" i="12"/>
  <c r="L175" i="12"/>
  <c r="O175" i="12" s="1"/>
  <c r="L174" i="12"/>
  <c r="L173" i="12"/>
  <c r="L172" i="12"/>
  <c r="O172" i="12" s="1"/>
  <c r="L171" i="12"/>
  <c r="O171" i="12" s="1"/>
  <c r="L170" i="12"/>
  <c r="L169" i="12"/>
  <c r="L168" i="12"/>
  <c r="O168" i="12" s="1"/>
  <c r="L167" i="12"/>
  <c r="O167" i="12" s="1"/>
  <c r="L166" i="12"/>
  <c r="L165" i="12"/>
  <c r="L164" i="12"/>
  <c r="O164" i="12" s="1"/>
  <c r="L163" i="12"/>
  <c r="O163" i="12" s="1"/>
  <c r="L162" i="12"/>
  <c r="L161" i="12"/>
  <c r="L159" i="12"/>
  <c r="L158" i="12"/>
  <c r="O158" i="12" s="1"/>
  <c r="L157" i="12"/>
  <c r="L156" i="12"/>
  <c r="O156" i="12" s="1"/>
  <c r="L155" i="12"/>
  <c r="L154" i="12"/>
  <c r="O154" i="12" s="1"/>
  <c r="L153" i="12"/>
  <c r="L152" i="12"/>
  <c r="O152" i="12" s="1"/>
  <c r="L151" i="12"/>
  <c r="L150" i="12"/>
  <c r="O150" i="12" s="1"/>
  <c r="L149" i="12"/>
  <c r="L148" i="12"/>
  <c r="O148" i="12" s="1"/>
  <c r="L147" i="12"/>
  <c r="L146" i="12"/>
  <c r="O146" i="12" s="1"/>
  <c r="L145" i="12"/>
  <c r="L143" i="12"/>
  <c r="L142" i="12"/>
  <c r="O142" i="12" s="1"/>
  <c r="L141" i="12"/>
  <c r="L140" i="12"/>
  <c r="O140" i="12" s="1"/>
  <c r="L139" i="12"/>
  <c r="L138" i="12"/>
  <c r="O138" i="12" s="1"/>
  <c r="L137" i="12"/>
  <c r="L136" i="12"/>
  <c r="O136" i="12" s="1"/>
  <c r="L135" i="12"/>
  <c r="L134" i="12"/>
  <c r="O134" i="12" s="1"/>
  <c r="L133" i="12"/>
  <c r="L132" i="12"/>
  <c r="O132" i="12" s="1"/>
  <c r="L131" i="12"/>
  <c r="L130" i="12"/>
  <c r="O130" i="12" s="1"/>
  <c r="L129" i="12"/>
  <c r="L127" i="12"/>
  <c r="L126" i="12"/>
  <c r="O126" i="12" s="1"/>
  <c r="L125" i="12"/>
  <c r="L124" i="12"/>
  <c r="O124" i="12" s="1"/>
  <c r="L123" i="12"/>
  <c r="L122" i="12"/>
  <c r="O122" i="12" s="1"/>
  <c r="L121" i="12"/>
  <c r="L120" i="12"/>
  <c r="O120" i="12" s="1"/>
  <c r="L119" i="12"/>
  <c r="L118" i="12"/>
  <c r="O118" i="12" s="1"/>
  <c r="L117" i="12"/>
  <c r="L116" i="12"/>
  <c r="O116" i="12" s="1"/>
  <c r="L115" i="12"/>
  <c r="L114" i="12"/>
  <c r="O114" i="12" s="1"/>
  <c r="L113" i="12"/>
  <c r="L111" i="12"/>
  <c r="L110" i="12"/>
  <c r="O110" i="12" s="1"/>
  <c r="L109" i="12"/>
  <c r="L108" i="12"/>
  <c r="O108" i="12" s="1"/>
  <c r="L107" i="12"/>
  <c r="O109" i="3"/>
  <c r="L106" i="12" s="1"/>
  <c r="O106" i="12" s="1"/>
  <c r="O108" i="3"/>
  <c r="L105" i="12" s="1"/>
  <c r="O107" i="3"/>
  <c r="L104" i="12" s="1"/>
  <c r="O104" i="12" s="1"/>
  <c r="O106" i="3"/>
  <c r="L103" i="12" s="1"/>
  <c r="O105" i="3"/>
  <c r="L102" i="12" s="1"/>
  <c r="O102" i="12" s="1"/>
  <c r="O104" i="3"/>
  <c r="L101" i="12" s="1"/>
  <c r="O103" i="3"/>
  <c r="L100" i="12" s="1"/>
  <c r="O100" i="12" s="1"/>
  <c r="O102" i="3"/>
  <c r="L99" i="12" s="1"/>
  <c r="O101" i="3"/>
  <c r="L98" i="12" s="1"/>
  <c r="O100" i="3"/>
  <c r="L97" i="12" s="1"/>
  <c r="O99" i="3"/>
  <c r="L96" i="12" s="1"/>
  <c r="O96" i="12" s="1"/>
  <c r="O98" i="3"/>
  <c r="L95" i="12" s="1"/>
  <c r="O97" i="3"/>
  <c r="L94" i="12" s="1"/>
  <c r="O94" i="12" s="1"/>
  <c r="O96" i="3"/>
  <c r="L93" i="12" s="1"/>
  <c r="O95" i="3"/>
  <c r="L92" i="12" s="1"/>
  <c r="O92" i="12" s="1"/>
  <c r="O94" i="3"/>
  <c r="L91" i="12" s="1"/>
  <c r="O93" i="3"/>
  <c r="L90" i="12" s="1"/>
  <c r="O90" i="12" s="1"/>
  <c r="O92" i="3"/>
  <c r="L89" i="12" s="1"/>
  <c r="O91" i="3"/>
  <c r="L88" i="12" s="1"/>
  <c r="O88" i="12" s="1"/>
  <c r="O90" i="3"/>
  <c r="L87" i="12" s="1"/>
  <c r="O89" i="3"/>
  <c r="L86" i="12" s="1"/>
  <c r="O86" i="12" s="1"/>
  <c r="O88" i="3"/>
  <c r="L85" i="12" s="1"/>
  <c r="O87" i="3"/>
  <c r="L84" i="12" s="1"/>
  <c r="O84" i="12" s="1"/>
  <c r="O86" i="3"/>
  <c r="L83" i="12" s="1"/>
  <c r="O85" i="3"/>
  <c r="L82" i="12" s="1"/>
  <c r="O82" i="12" s="1"/>
  <c r="O84" i="3"/>
  <c r="L81" i="12" s="1"/>
  <c r="O83" i="3"/>
  <c r="L80" i="12" s="1"/>
  <c r="O80" i="12" s="1"/>
  <c r="O82" i="3"/>
  <c r="L79" i="12" s="1"/>
  <c r="O81" i="3"/>
  <c r="L78" i="12" s="1"/>
  <c r="O78" i="12" s="1"/>
  <c r="O80" i="3"/>
  <c r="L77" i="12" s="1"/>
  <c r="O79" i="3"/>
  <c r="L76" i="12" s="1"/>
  <c r="O76" i="12" s="1"/>
  <c r="O78" i="3"/>
  <c r="L75" i="12" s="1"/>
  <c r="O77" i="3"/>
  <c r="L74" i="12" s="1"/>
  <c r="O74" i="12" s="1"/>
  <c r="O76" i="3"/>
  <c r="L73" i="12" s="1"/>
  <c r="O75" i="3"/>
  <c r="L72" i="12" s="1"/>
  <c r="O72" i="12" s="1"/>
  <c r="O74" i="3"/>
  <c r="L71" i="12" s="1"/>
  <c r="O73" i="3"/>
  <c r="L70" i="12" s="1"/>
  <c r="O70" i="12" s="1"/>
  <c r="O72" i="3"/>
  <c r="L69" i="12" s="1"/>
  <c r="O71" i="3"/>
  <c r="L68" i="12" s="1"/>
  <c r="O68" i="12" s="1"/>
  <c r="O70" i="3"/>
  <c r="L67" i="12" s="1"/>
  <c r="O69" i="3"/>
  <c r="L66" i="12" s="1"/>
  <c r="O68" i="3"/>
  <c r="L65" i="12" s="1"/>
  <c r="O67" i="3"/>
  <c r="L64" i="12" s="1"/>
  <c r="O64" i="12" s="1"/>
  <c r="O66" i="3"/>
  <c r="L63" i="12" s="1"/>
  <c r="O65" i="3"/>
  <c r="L62" i="12" s="1"/>
  <c r="O62" i="12" s="1"/>
  <c r="O64" i="3"/>
  <c r="L61" i="12" s="1"/>
  <c r="O63" i="3"/>
  <c r="L60" i="12" s="1"/>
  <c r="O60" i="12" s="1"/>
  <c r="O62" i="3"/>
  <c r="L59" i="12" s="1"/>
  <c r="O61" i="3"/>
  <c r="L58" i="12" s="1"/>
  <c r="O58" i="12" s="1"/>
  <c r="O60" i="3"/>
  <c r="L57" i="12" s="1"/>
  <c r="O59" i="3"/>
  <c r="L56" i="12" s="1"/>
  <c r="O56" i="12" s="1"/>
  <c r="O58" i="3"/>
  <c r="L55" i="12" s="1"/>
  <c r="O57" i="3"/>
  <c r="L54" i="12" s="1"/>
  <c r="O54" i="12" s="1"/>
  <c r="O56" i="3"/>
  <c r="L53" i="12" s="1"/>
  <c r="O55" i="3"/>
  <c r="L52" i="12" s="1"/>
  <c r="O52" i="12" s="1"/>
  <c r="O54" i="3"/>
  <c r="L51" i="12" s="1"/>
  <c r="O53" i="3"/>
  <c r="L50" i="12" s="1"/>
  <c r="O50" i="12" s="1"/>
  <c r="O52" i="3"/>
  <c r="L49" i="12" s="1"/>
  <c r="O51" i="3"/>
  <c r="L48" i="12" s="1"/>
  <c r="O48" i="12" s="1"/>
  <c r="O50" i="3"/>
  <c r="L47" i="12" s="1"/>
  <c r="O49" i="3"/>
  <c r="L46" i="12" s="1"/>
  <c r="O46" i="12" s="1"/>
  <c r="O48" i="3"/>
  <c r="L45" i="12" s="1"/>
  <c r="O47" i="3"/>
  <c r="L44" i="12" s="1"/>
  <c r="O44" i="12" s="1"/>
  <c r="O46" i="3"/>
  <c r="L43" i="12" s="1"/>
  <c r="O45" i="3"/>
  <c r="L42" i="12" s="1"/>
  <c r="O42" i="12" s="1"/>
  <c r="O44" i="3"/>
  <c r="L41" i="12" s="1"/>
  <c r="O43" i="3"/>
  <c r="L40" i="12" s="1"/>
  <c r="O40" i="12" s="1"/>
  <c r="O42" i="3"/>
  <c r="L39" i="12" s="1"/>
  <c r="O41" i="3"/>
  <c r="L38" i="12" s="1"/>
  <c r="O38" i="12" s="1"/>
  <c r="O40" i="3"/>
  <c r="L37" i="12" s="1"/>
  <c r="O39" i="3"/>
  <c r="L36" i="12" s="1"/>
  <c r="O36" i="12" s="1"/>
  <c r="O34" i="3"/>
  <c r="L31" i="12" s="1"/>
  <c r="F25" i="12"/>
  <c r="O23" i="15"/>
  <c r="M40" i="15"/>
  <c r="O32" i="15"/>
  <c r="O35" i="15"/>
  <c r="O11" i="3"/>
  <c r="L8" i="12" s="1"/>
  <c r="E34" i="12"/>
  <c r="M37" i="3"/>
  <c r="E32" i="12"/>
  <c r="M35" i="3"/>
  <c r="O35" i="3" s="1"/>
  <c r="L32" i="12" s="1"/>
  <c r="M32" i="12" s="1"/>
  <c r="M25" i="3"/>
  <c r="O25" i="3" s="1"/>
  <c r="E22" i="12"/>
  <c r="M21" i="3"/>
  <c r="E18" i="12"/>
  <c r="O26" i="12"/>
  <c r="P26" i="12" s="1"/>
  <c r="L25" i="12"/>
  <c r="M15" i="3"/>
  <c r="O15" i="3" s="1"/>
  <c r="E12" i="12"/>
  <c r="L19" i="12"/>
  <c r="O19" i="12" s="1"/>
  <c r="O14" i="3"/>
  <c r="L11" i="12" s="1"/>
  <c r="O11" i="12" s="1"/>
  <c r="O38" i="3"/>
  <c r="L35" i="12" s="1"/>
  <c r="O32" i="3"/>
  <c r="L29" i="12" s="1"/>
  <c r="M29" i="12" s="1"/>
  <c r="O23" i="3"/>
  <c r="L20" i="12" s="1"/>
  <c r="M20" i="12" s="1"/>
  <c r="M20" i="3"/>
  <c r="O20" i="3" s="1"/>
  <c r="E17" i="12"/>
  <c r="O19" i="3"/>
  <c r="L16" i="12" s="1"/>
  <c r="O16" i="12" s="1"/>
  <c r="M18" i="3"/>
  <c r="E15" i="12"/>
  <c r="O18" i="3"/>
  <c r="O33" i="12"/>
  <c r="O21" i="3"/>
  <c r="O17" i="3"/>
  <c r="L14" i="12" s="1"/>
  <c r="O37" i="3"/>
  <c r="O30" i="3"/>
  <c r="L27" i="12" s="1"/>
  <c r="M27" i="12" s="1"/>
  <c r="O12" i="3"/>
  <c r="L9" i="12" s="1"/>
  <c r="O9" i="12" s="1"/>
  <c r="M33" i="3"/>
  <c r="O33" i="3" s="1"/>
  <c r="E30" i="12"/>
  <c r="O26" i="3"/>
  <c r="L23" i="12" s="1"/>
  <c r="M23" i="12" s="1"/>
  <c r="O16" i="3"/>
  <c r="L13" i="12" s="1"/>
  <c r="O13" i="12" s="1"/>
  <c r="O13" i="3"/>
  <c r="L10" i="12" s="1"/>
  <c r="O10" i="12" s="1"/>
  <c r="L22" i="12" l="1"/>
  <c r="N24" i="12"/>
  <c r="L15" i="12"/>
  <c r="L34" i="12"/>
  <c r="L17" i="12"/>
  <c r="O17" i="12" s="1"/>
  <c r="L12" i="12"/>
  <c r="L30" i="12"/>
  <c r="P30" i="12" s="1"/>
  <c r="L18" i="12"/>
  <c r="M18" i="12" s="1"/>
  <c r="N28" i="12"/>
  <c r="O21" i="12"/>
  <c r="P21" i="12" s="1"/>
  <c r="P28" i="12"/>
  <c r="N33" i="12"/>
  <c r="M12" i="12"/>
  <c r="N17" i="12"/>
  <c r="P17" i="12"/>
  <c r="M17" i="12"/>
  <c r="P22" i="12"/>
  <c r="N22" i="12"/>
  <c r="F17" i="12"/>
  <c r="O8" i="12"/>
  <c r="P8" i="12"/>
  <c r="M8" i="12"/>
  <c r="N8" i="12"/>
  <c r="N40" i="15"/>
  <c r="N31" i="12"/>
  <c r="P31" i="12"/>
  <c r="P37" i="12"/>
  <c r="N37" i="12"/>
  <c r="P41" i="12"/>
  <c r="N41" i="12"/>
  <c r="P45" i="12"/>
  <c r="N45" i="12"/>
  <c r="P49" i="12"/>
  <c r="N49" i="12"/>
  <c r="P53" i="12"/>
  <c r="N53" i="12"/>
  <c r="P57" i="12"/>
  <c r="N57" i="12"/>
  <c r="P61" i="12"/>
  <c r="N61" i="12"/>
  <c r="P65" i="12"/>
  <c r="N65" i="12"/>
  <c r="P69" i="12"/>
  <c r="N69" i="12"/>
  <c r="P73" i="12"/>
  <c r="N73" i="12"/>
  <c r="P77" i="12"/>
  <c r="N77" i="12"/>
  <c r="P81" i="12"/>
  <c r="N81" i="12"/>
  <c r="P85" i="12"/>
  <c r="N85" i="12"/>
  <c r="P89" i="12"/>
  <c r="N89" i="12"/>
  <c r="P93" i="12"/>
  <c r="N93" i="12"/>
  <c r="P97" i="12"/>
  <c r="N97" i="12"/>
  <c r="P101" i="12"/>
  <c r="N101" i="12"/>
  <c r="P105" i="12"/>
  <c r="N105" i="12"/>
  <c r="P109" i="12"/>
  <c r="N109" i="12"/>
  <c r="P113" i="12"/>
  <c r="N113" i="12"/>
  <c r="P117" i="12"/>
  <c r="N117" i="12"/>
  <c r="P121" i="12"/>
  <c r="N121" i="12"/>
  <c r="P125" i="12"/>
  <c r="N125" i="12"/>
  <c r="P129" i="12"/>
  <c r="N129" i="12"/>
  <c r="P133" i="12"/>
  <c r="N133" i="12"/>
  <c r="P137" i="12"/>
  <c r="N137" i="12"/>
  <c r="P141" i="12"/>
  <c r="N141" i="12"/>
  <c r="P145" i="12"/>
  <c r="N145" i="12"/>
  <c r="P149" i="12"/>
  <c r="N149" i="12"/>
  <c r="P153" i="12"/>
  <c r="N153" i="12"/>
  <c r="P157" i="12"/>
  <c r="N157" i="12"/>
  <c r="P161" i="12"/>
  <c r="N161" i="12"/>
  <c r="P165" i="12"/>
  <c r="N165" i="12"/>
  <c r="P169" i="12"/>
  <c r="N169" i="12"/>
  <c r="P173" i="12"/>
  <c r="N173" i="12"/>
  <c r="P177" i="12"/>
  <c r="N177" i="12"/>
  <c r="P181" i="12"/>
  <c r="N181" i="12"/>
  <c r="P185" i="12"/>
  <c r="N185" i="12"/>
  <c r="P189" i="12"/>
  <c r="N189" i="12"/>
  <c r="P193" i="12"/>
  <c r="N193" i="12"/>
  <c r="P197" i="12"/>
  <c r="N197" i="12"/>
  <c r="P201" i="12"/>
  <c r="N201" i="12"/>
  <c r="P205" i="12"/>
  <c r="N205" i="12"/>
  <c r="P209" i="12"/>
  <c r="N209" i="12"/>
  <c r="P213" i="12"/>
  <c r="N213" i="12"/>
  <c r="P217" i="12"/>
  <c r="N217" i="12"/>
  <c r="P221" i="12"/>
  <c r="N221" i="12"/>
  <c r="P225" i="12"/>
  <c r="N225" i="12"/>
  <c r="P229" i="12"/>
  <c r="N229" i="12"/>
  <c r="P233" i="12"/>
  <c r="N233" i="12"/>
  <c r="P237" i="12"/>
  <c r="N237" i="12"/>
  <c r="P241" i="12"/>
  <c r="N241" i="12"/>
  <c r="P245" i="12"/>
  <c r="N245" i="12"/>
  <c r="P249" i="12"/>
  <c r="N249" i="12"/>
  <c r="P253" i="12"/>
  <c r="N253" i="12"/>
  <c r="P257" i="12"/>
  <c r="N257" i="12"/>
  <c r="P261" i="12"/>
  <c r="N261" i="12"/>
  <c r="P265" i="12"/>
  <c r="N265" i="12"/>
  <c r="P269" i="12"/>
  <c r="N269" i="12"/>
  <c r="P273" i="12"/>
  <c r="N273" i="12"/>
  <c r="P277" i="12"/>
  <c r="N277" i="12"/>
  <c r="P281" i="12"/>
  <c r="N281" i="12"/>
  <c r="P285" i="12"/>
  <c r="N285" i="12"/>
  <c r="P289" i="12"/>
  <c r="N289" i="12"/>
  <c r="P293" i="12"/>
  <c r="N293" i="12"/>
  <c r="P297" i="12"/>
  <c r="N297" i="12"/>
  <c r="P494" i="12"/>
  <c r="N494" i="12"/>
  <c r="M19" i="12"/>
  <c r="O165" i="12"/>
  <c r="P301" i="12"/>
  <c r="N301" i="12"/>
  <c r="P305" i="12"/>
  <c r="N305" i="12"/>
  <c r="P309" i="12"/>
  <c r="N309" i="12"/>
  <c r="P313" i="12"/>
  <c r="N313" i="12"/>
  <c r="P317" i="12"/>
  <c r="N317" i="12"/>
  <c r="P321" i="12"/>
  <c r="N321" i="12"/>
  <c r="P325" i="12"/>
  <c r="N325" i="12"/>
  <c r="P329" i="12"/>
  <c r="N329" i="12"/>
  <c r="P333" i="12"/>
  <c r="N333" i="12"/>
  <c r="P337" i="12"/>
  <c r="N337" i="12"/>
  <c r="P341" i="12"/>
  <c r="N341" i="12"/>
  <c r="P345" i="12"/>
  <c r="N345" i="12"/>
  <c r="P349" i="12"/>
  <c r="N349" i="12"/>
  <c r="P353" i="12"/>
  <c r="N353" i="12"/>
  <c r="P357" i="12"/>
  <c r="N357" i="12"/>
  <c r="P361" i="12"/>
  <c r="N361" i="12"/>
  <c r="P365" i="12"/>
  <c r="N365" i="12"/>
  <c r="P369" i="12"/>
  <c r="N369" i="12"/>
  <c r="P373" i="12"/>
  <c r="N373" i="12"/>
  <c r="P377" i="12"/>
  <c r="N377" i="12"/>
  <c r="P381" i="12"/>
  <c r="N381" i="12"/>
  <c r="P385" i="12"/>
  <c r="N385" i="12"/>
  <c r="P389" i="12"/>
  <c r="N389" i="12"/>
  <c r="P393" i="12"/>
  <c r="N393" i="12"/>
  <c r="P397" i="12"/>
  <c r="N397" i="12"/>
  <c r="P401" i="12"/>
  <c r="N401" i="12"/>
  <c r="P405" i="12"/>
  <c r="N405" i="12"/>
  <c r="P409" i="12"/>
  <c r="N409" i="12"/>
  <c r="P413" i="12"/>
  <c r="N413" i="12"/>
  <c r="P417" i="12"/>
  <c r="N417" i="12"/>
  <c r="P421" i="12"/>
  <c r="N421" i="12"/>
  <c r="P425" i="12"/>
  <c r="N425" i="12"/>
  <c r="P429" i="12"/>
  <c r="N429" i="12"/>
  <c r="P433" i="12"/>
  <c r="N433" i="12"/>
  <c r="P437" i="12"/>
  <c r="N437" i="12"/>
  <c r="P441" i="12"/>
  <c r="N441" i="12"/>
  <c r="P445" i="12"/>
  <c r="N445" i="12"/>
  <c r="P449" i="12"/>
  <c r="N449" i="12"/>
  <c r="P453" i="12"/>
  <c r="N453" i="12"/>
  <c r="P457" i="12"/>
  <c r="N457" i="12"/>
  <c r="P461" i="12"/>
  <c r="N461" i="12"/>
  <c r="P465" i="12"/>
  <c r="N465" i="12"/>
  <c r="P469" i="12"/>
  <c r="N469" i="12"/>
  <c r="P473" i="12"/>
  <c r="N473" i="12"/>
  <c r="P477" i="12"/>
  <c r="N477" i="12"/>
  <c r="P481" i="12"/>
  <c r="N481" i="12"/>
  <c r="P485" i="12"/>
  <c r="N485" i="12"/>
  <c r="P489" i="12"/>
  <c r="N489" i="12"/>
  <c r="O169" i="12"/>
  <c r="O173" i="12"/>
  <c r="O177" i="12"/>
  <c r="O181" i="12"/>
  <c r="O185" i="12"/>
  <c r="O189" i="12"/>
  <c r="O193" i="12"/>
  <c r="O197" i="12"/>
  <c r="O201" i="12"/>
  <c r="O265" i="12"/>
  <c r="O273" i="12"/>
  <c r="O289" i="12"/>
  <c r="O321" i="12"/>
  <c r="O369" i="12"/>
  <c r="O377" i="12"/>
  <c r="O494" i="12"/>
  <c r="O209" i="12"/>
  <c r="O217" i="12"/>
  <c r="O225" i="12"/>
  <c r="O325" i="12"/>
  <c r="O333" i="12"/>
  <c r="O341" i="12"/>
  <c r="O385" i="12"/>
  <c r="O393" i="12"/>
  <c r="O401" i="12"/>
  <c r="O409" i="12"/>
  <c r="O417" i="12"/>
  <c r="O425" i="12"/>
  <c r="O433" i="12"/>
  <c r="O449" i="12"/>
  <c r="O457" i="12"/>
  <c r="N18" i="12"/>
  <c r="P9" i="12"/>
  <c r="N38" i="12"/>
  <c r="P38" i="12"/>
  <c r="N46" i="12"/>
  <c r="P46" i="12"/>
  <c r="N54" i="12"/>
  <c r="P54" i="12"/>
  <c r="N58" i="12"/>
  <c r="P58" i="12"/>
  <c r="N62" i="12"/>
  <c r="P62" i="12"/>
  <c r="N66" i="12"/>
  <c r="P66" i="12"/>
  <c r="N70" i="12"/>
  <c r="P70" i="12"/>
  <c r="N74" i="12"/>
  <c r="P74" i="12"/>
  <c r="N78" i="12"/>
  <c r="P78" i="12"/>
  <c r="N82" i="12"/>
  <c r="P82" i="12"/>
  <c r="N86" i="12"/>
  <c r="P86" i="12"/>
  <c r="N90" i="12"/>
  <c r="P90" i="12"/>
  <c r="N94" i="12"/>
  <c r="P94" i="12"/>
  <c r="N98" i="12"/>
  <c r="P98" i="12"/>
  <c r="N102" i="12"/>
  <c r="P102" i="12"/>
  <c r="N106" i="12"/>
  <c r="P106" i="12"/>
  <c r="N110" i="12"/>
  <c r="P110" i="12"/>
  <c r="N114" i="12"/>
  <c r="P114" i="12"/>
  <c r="N118" i="12"/>
  <c r="P118" i="12"/>
  <c r="N122" i="12"/>
  <c r="P122" i="12"/>
  <c r="N126" i="12"/>
  <c r="P126" i="12"/>
  <c r="N130" i="12"/>
  <c r="P130" i="12"/>
  <c r="N134" i="12"/>
  <c r="P134" i="12"/>
  <c r="N138" i="12"/>
  <c r="P138" i="12"/>
  <c r="N142" i="12"/>
  <c r="P142" i="12"/>
  <c r="N146" i="12"/>
  <c r="P146" i="12"/>
  <c r="N150" i="12"/>
  <c r="P150" i="12"/>
  <c r="N154" i="12"/>
  <c r="P154" i="12"/>
  <c r="N158" i="12"/>
  <c r="P158" i="12"/>
  <c r="N162" i="12"/>
  <c r="P162" i="12"/>
  <c r="N166" i="12"/>
  <c r="P166" i="12"/>
  <c r="N170" i="12"/>
  <c r="P170" i="12"/>
  <c r="N174" i="12"/>
  <c r="P174" i="12"/>
  <c r="N178" i="12"/>
  <c r="P178" i="12"/>
  <c r="N182" i="12"/>
  <c r="P182" i="12"/>
  <c r="P186" i="12"/>
  <c r="N186" i="12"/>
  <c r="P190" i="12"/>
  <c r="N190" i="12"/>
  <c r="P194" i="12"/>
  <c r="N194" i="12"/>
  <c r="P198" i="12"/>
  <c r="N198" i="12"/>
  <c r="P202" i="12"/>
  <c r="N202" i="12"/>
  <c r="P206" i="12"/>
  <c r="N206" i="12"/>
  <c r="P210" i="12"/>
  <c r="N210" i="12"/>
  <c r="P214" i="12"/>
  <c r="N214" i="12"/>
  <c r="P218" i="12"/>
  <c r="N218" i="12"/>
  <c r="P222" i="12"/>
  <c r="N222" i="12"/>
  <c r="P226" i="12"/>
  <c r="N226" i="12"/>
  <c r="P230" i="12"/>
  <c r="N230" i="12"/>
  <c r="P234" i="12"/>
  <c r="N234" i="12"/>
  <c r="P238" i="12"/>
  <c r="N238" i="12"/>
  <c r="P242" i="12"/>
  <c r="N242" i="12"/>
  <c r="P246" i="12"/>
  <c r="N246" i="12"/>
  <c r="P250" i="12"/>
  <c r="N250" i="12"/>
  <c r="P254" i="12"/>
  <c r="N254" i="12"/>
  <c r="P258" i="12"/>
  <c r="N258" i="12"/>
  <c r="P262" i="12"/>
  <c r="N262" i="12"/>
  <c r="P266" i="12"/>
  <c r="N266" i="12"/>
  <c r="P270" i="12"/>
  <c r="N270" i="12"/>
  <c r="P274" i="12"/>
  <c r="N274" i="12"/>
  <c r="P278" i="12"/>
  <c r="N278" i="12"/>
  <c r="P282" i="12"/>
  <c r="N282" i="12"/>
  <c r="P286" i="12"/>
  <c r="N286" i="12"/>
  <c r="P290" i="12"/>
  <c r="N290" i="12"/>
  <c r="P294" i="12"/>
  <c r="N294" i="12"/>
  <c r="P491" i="12"/>
  <c r="N491" i="12"/>
  <c r="P495" i="12"/>
  <c r="N495" i="12"/>
  <c r="M25" i="12"/>
  <c r="N25" i="12" s="1"/>
  <c r="P298" i="12"/>
  <c r="N298" i="12"/>
  <c r="P302" i="12"/>
  <c r="N302" i="12"/>
  <c r="P306" i="12"/>
  <c r="N306" i="12"/>
  <c r="P310" i="12"/>
  <c r="N310" i="12"/>
  <c r="P314" i="12"/>
  <c r="N314" i="12"/>
  <c r="P318" i="12"/>
  <c r="N318" i="12"/>
  <c r="P322" i="12"/>
  <c r="N322" i="12"/>
  <c r="P326" i="12"/>
  <c r="N326" i="12"/>
  <c r="P330" i="12"/>
  <c r="N330" i="12"/>
  <c r="P334" i="12"/>
  <c r="N334" i="12"/>
  <c r="P338" i="12"/>
  <c r="N338" i="12"/>
  <c r="P342" i="12"/>
  <c r="N342" i="12"/>
  <c r="P346" i="12"/>
  <c r="N346" i="12"/>
  <c r="P350" i="12"/>
  <c r="N350" i="12"/>
  <c r="P354" i="12"/>
  <c r="N354" i="12"/>
  <c r="P358" i="12"/>
  <c r="N358" i="12"/>
  <c r="P362" i="12"/>
  <c r="N362" i="12"/>
  <c r="P366" i="12"/>
  <c r="N366" i="12"/>
  <c r="P370" i="12"/>
  <c r="N370" i="12"/>
  <c r="P374" i="12"/>
  <c r="N374" i="12"/>
  <c r="P378" i="12"/>
  <c r="N378" i="12"/>
  <c r="P382" i="12"/>
  <c r="N382" i="12"/>
  <c r="P386" i="12"/>
  <c r="N386" i="12"/>
  <c r="P390" i="12"/>
  <c r="N390" i="12"/>
  <c r="P394" i="12"/>
  <c r="N394" i="12"/>
  <c r="P398" i="12"/>
  <c r="N398" i="12"/>
  <c r="P402" i="12"/>
  <c r="N402" i="12"/>
  <c r="P406" i="12"/>
  <c r="N406" i="12"/>
  <c r="P410" i="12"/>
  <c r="N410" i="12"/>
  <c r="P414" i="12"/>
  <c r="N414" i="12"/>
  <c r="P418" i="12"/>
  <c r="N418" i="12"/>
  <c r="P422" i="12"/>
  <c r="N422" i="12"/>
  <c r="P426" i="12"/>
  <c r="N426" i="12"/>
  <c r="P430" i="12"/>
  <c r="N430" i="12"/>
  <c r="P434" i="12"/>
  <c r="N434" i="12"/>
  <c r="P438" i="12"/>
  <c r="N438" i="12"/>
  <c r="P442" i="12"/>
  <c r="N442" i="12"/>
  <c r="P446" i="12"/>
  <c r="N446" i="12"/>
  <c r="P450" i="12"/>
  <c r="N450" i="12"/>
  <c r="P454" i="12"/>
  <c r="N454" i="12"/>
  <c r="P458" i="12"/>
  <c r="N458" i="12"/>
  <c r="P462" i="12"/>
  <c r="N462" i="12"/>
  <c r="P466" i="12"/>
  <c r="N466" i="12"/>
  <c r="P470" i="12"/>
  <c r="N470" i="12"/>
  <c r="P474" i="12"/>
  <c r="N474" i="12"/>
  <c r="P478" i="12"/>
  <c r="N478" i="12"/>
  <c r="P482" i="12"/>
  <c r="N482" i="12"/>
  <c r="P486" i="12"/>
  <c r="N486" i="12"/>
  <c r="P490" i="12"/>
  <c r="N490" i="12"/>
  <c r="O366" i="12"/>
  <c r="P498" i="12"/>
  <c r="N498" i="12"/>
  <c r="O162" i="12"/>
  <c r="O210" i="12"/>
  <c r="O218" i="12"/>
  <c r="O233" i="12"/>
  <c r="O241" i="12"/>
  <c r="O249" i="12"/>
  <c r="O257" i="12"/>
  <c r="O266" i="12"/>
  <c r="O274" i="12"/>
  <c r="O298" i="12"/>
  <c r="O305" i="12"/>
  <c r="O313" i="12"/>
  <c r="O353" i="12"/>
  <c r="O361" i="12"/>
  <c r="O370" i="12"/>
  <c r="O378" i="12"/>
  <c r="O386" i="12"/>
  <c r="O394" i="12"/>
  <c r="O402" i="12"/>
  <c r="O410" i="12"/>
  <c r="O418" i="12"/>
  <c r="O426" i="12"/>
  <c r="O434" i="12"/>
  <c r="O441" i="12"/>
  <c r="O306" i="12"/>
  <c r="O438" i="12"/>
  <c r="P499" i="12"/>
  <c r="N499" i="12"/>
  <c r="F30" i="12"/>
  <c r="P10" i="12"/>
  <c r="M15" i="12"/>
  <c r="N15" i="12" s="1"/>
  <c r="N32" i="12"/>
  <c r="M13" i="12"/>
  <c r="N13" i="12" s="1"/>
  <c r="P13" i="12"/>
  <c r="O15" i="12"/>
  <c r="P15" i="12" s="1"/>
  <c r="F15" i="12"/>
  <c r="O35" i="12"/>
  <c r="N35" i="12"/>
  <c r="P35" i="12"/>
  <c r="O32" i="12"/>
  <c r="P32" i="12" s="1"/>
  <c r="F32" i="12"/>
  <c r="O37" i="15"/>
  <c r="O38" i="15"/>
  <c r="M9" i="12"/>
  <c r="N9" i="12" s="1"/>
  <c r="N42" i="12"/>
  <c r="P42" i="12"/>
  <c r="N50" i="12"/>
  <c r="P50" i="12"/>
  <c r="O23" i="12"/>
  <c r="N23" i="12"/>
  <c r="P23" i="12"/>
  <c r="O14" i="12"/>
  <c r="P14" i="12" s="1"/>
  <c r="O31" i="12"/>
  <c r="O20" i="12"/>
  <c r="P20" i="12" s="1"/>
  <c r="N20" i="12"/>
  <c r="P11" i="12"/>
  <c r="M11" i="12"/>
  <c r="N11" i="12" s="1"/>
  <c r="O22" i="12"/>
  <c r="F22" i="12"/>
  <c r="O30" i="15"/>
  <c r="O39" i="15"/>
  <c r="O36" i="15"/>
  <c r="O31" i="15"/>
  <c r="M10" i="12"/>
  <c r="N10" i="12" s="1"/>
  <c r="P39" i="12"/>
  <c r="N39" i="12"/>
  <c r="P43" i="12"/>
  <c r="N43" i="12"/>
  <c r="P47" i="12"/>
  <c r="N47" i="12"/>
  <c r="P51" i="12"/>
  <c r="N51" i="12"/>
  <c r="P55" i="12"/>
  <c r="N55" i="12"/>
  <c r="P59" i="12"/>
  <c r="N59" i="12"/>
  <c r="P63" i="12"/>
  <c r="N63" i="12"/>
  <c r="P67" i="12"/>
  <c r="N67" i="12"/>
  <c r="P71" i="12"/>
  <c r="N71" i="12"/>
  <c r="P75" i="12"/>
  <c r="N75" i="12"/>
  <c r="P79" i="12"/>
  <c r="N79" i="12"/>
  <c r="P83" i="12"/>
  <c r="N83" i="12"/>
  <c r="P87" i="12"/>
  <c r="N87" i="12"/>
  <c r="P91" i="12"/>
  <c r="N91" i="12"/>
  <c r="P95" i="12"/>
  <c r="N95" i="12"/>
  <c r="P99" i="12"/>
  <c r="N99" i="12"/>
  <c r="P103" i="12"/>
  <c r="N103" i="12"/>
  <c r="P107" i="12"/>
  <c r="N107" i="12"/>
  <c r="P111" i="12"/>
  <c r="N111" i="12"/>
  <c r="P115" i="12"/>
  <c r="N115" i="12"/>
  <c r="P119" i="12"/>
  <c r="N119" i="12"/>
  <c r="P123" i="12"/>
  <c r="N123" i="12"/>
  <c r="P127" i="12"/>
  <c r="N127" i="12"/>
  <c r="P131" i="12"/>
  <c r="N131" i="12"/>
  <c r="P135" i="12"/>
  <c r="N135" i="12"/>
  <c r="P139" i="12"/>
  <c r="N139" i="12"/>
  <c r="P143" i="12"/>
  <c r="N143" i="12"/>
  <c r="P147" i="12"/>
  <c r="N147" i="12"/>
  <c r="P151" i="12"/>
  <c r="N151" i="12"/>
  <c r="P155" i="12"/>
  <c r="N155" i="12"/>
  <c r="P159" i="12"/>
  <c r="N159" i="12"/>
  <c r="P163" i="12"/>
  <c r="N163" i="12"/>
  <c r="P167" i="12"/>
  <c r="N167" i="12"/>
  <c r="P171" i="12"/>
  <c r="N171" i="12"/>
  <c r="P175" i="12"/>
  <c r="N175" i="12"/>
  <c r="P179" i="12"/>
  <c r="N179" i="12"/>
  <c r="P183" i="12"/>
  <c r="N183" i="12"/>
  <c r="P187" i="12"/>
  <c r="N187" i="12"/>
  <c r="P191" i="12"/>
  <c r="N191" i="12"/>
  <c r="P195" i="12"/>
  <c r="N195" i="12"/>
  <c r="P199" i="12"/>
  <c r="N199" i="12"/>
  <c r="P203" i="12"/>
  <c r="N203" i="12"/>
  <c r="P207" i="12"/>
  <c r="N207" i="12"/>
  <c r="P211" i="12"/>
  <c r="N211" i="12"/>
  <c r="P215" i="12"/>
  <c r="N215" i="12"/>
  <c r="P219" i="12"/>
  <c r="N219" i="12"/>
  <c r="P223" i="12"/>
  <c r="N223" i="12"/>
  <c r="P227" i="12"/>
  <c r="N227" i="12"/>
  <c r="P231" i="12"/>
  <c r="N231" i="12"/>
  <c r="P235" i="12"/>
  <c r="N235" i="12"/>
  <c r="P239" i="12"/>
  <c r="N239" i="12"/>
  <c r="P243" i="12"/>
  <c r="N243" i="12"/>
  <c r="P247" i="12"/>
  <c r="N247" i="12"/>
  <c r="P251" i="12"/>
  <c r="N251" i="12"/>
  <c r="P255" i="12"/>
  <c r="N255" i="12"/>
  <c r="P259" i="12"/>
  <c r="N259" i="12"/>
  <c r="P263" i="12"/>
  <c r="N263" i="12"/>
  <c r="P267" i="12"/>
  <c r="N267" i="12"/>
  <c r="P271" i="12"/>
  <c r="N271" i="12"/>
  <c r="P275" i="12"/>
  <c r="N275" i="12"/>
  <c r="P279" i="12"/>
  <c r="N279" i="12"/>
  <c r="P283" i="12"/>
  <c r="N283" i="12"/>
  <c r="P287" i="12"/>
  <c r="N287" i="12"/>
  <c r="P291" i="12"/>
  <c r="N291" i="12"/>
  <c r="P295" i="12"/>
  <c r="N295" i="12"/>
  <c r="M14" i="12"/>
  <c r="N14" i="12" s="1"/>
  <c r="P492" i="12"/>
  <c r="N492" i="12"/>
  <c r="P496" i="12"/>
  <c r="N496" i="12"/>
  <c r="M35" i="12"/>
  <c r="O202" i="12"/>
  <c r="O243" i="12"/>
  <c r="O251" i="12"/>
  <c r="O275" i="12"/>
  <c r="O282" i="12"/>
  <c r="O290" i="12"/>
  <c r="O314" i="12"/>
  <c r="O345" i="12"/>
  <c r="P299" i="12"/>
  <c r="N299" i="12"/>
  <c r="P303" i="12"/>
  <c r="N303" i="12"/>
  <c r="P307" i="12"/>
  <c r="N307" i="12"/>
  <c r="P311" i="12"/>
  <c r="N311" i="12"/>
  <c r="P315" i="12"/>
  <c r="N315" i="12"/>
  <c r="P319" i="12"/>
  <c r="N319" i="12"/>
  <c r="P323" i="12"/>
  <c r="N323" i="12"/>
  <c r="P327" i="12"/>
  <c r="N327" i="12"/>
  <c r="P331" i="12"/>
  <c r="N331" i="12"/>
  <c r="P335" i="12"/>
  <c r="N335" i="12"/>
  <c r="P339" i="12"/>
  <c r="N339" i="12"/>
  <c r="P343" i="12"/>
  <c r="N343" i="12"/>
  <c r="P347" i="12"/>
  <c r="N347" i="12"/>
  <c r="P351" i="12"/>
  <c r="N351" i="12"/>
  <c r="P355" i="12"/>
  <c r="N355" i="12"/>
  <c r="P359" i="12"/>
  <c r="N359" i="12"/>
  <c r="P363" i="12"/>
  <c r="N363" i="12"/>
  <c r="P367" i="12"/>
  <c r="N367" i="12"/>
  <c r="P371" i="12"/>
  <c r="N371" i="12"/>
  <c r="P375" i="12"/>
  <c r="N375" i="12"/>
  <c r="P379" i="12"/>
  <c r="N379" i="12"/>
  <c r="P383" i="12"/>
  <c r="N383" i="12"/>
  <c r="P387" i="12"/>
  <c r="N387" i="12"/>
  <c r="P391" i="12"/>
  <c r="N391" i="12"/>
  <c r="P395" i="12"/>
  <c r="N395" i="12"/>
  <c r="P399" i="12"/>
  <c r="N399" i="12"/>
  <c r="P403" i="12"/>
  <c r="N403" i="12"/>
  <c r="P407" i="12"/>
  <c r="N407" i="12"/>
  <c r="P411" i="12"/>
  <c r="N411" i="12"/>
  <c r="P415" i="12"/>
  <c r="N415" i="12"/>
  <c r="P419" i="12"/>
  <c r="N419" i="12"/>
  <c r="P423" i="12"/>
  <c r="N423" i="12"/>
  <c r="P427" i="12"/>
  <c r="N427" i="12"/>
  <c r="P431" i="12"/>
  <c r="N431" i="12"/>
  <c r="P435" i="12"/>
  <c r="N435" i="12"/>
  <c r="P439" i="12"/>
  <c r="N439" i="12"/>
  <c r="P443" i="12"/>
  <c r="N443" i="12"/>
  <c r="P447" i="12"/>
  <c r="N447" i="12"/>
  <c r="P451" i="12"/>
  <c r="N451" i="12"/>
  <c r="P455" i="12"/>
  <c r="N455" i="12"/>
  <c r="P459" i="12"/>
  <c r="N459" i="12"/>
  <c r="P463" i="12"/>
  <c r="N463" i="12"/>
  <c r="P467" i="12"/>
  <c r="N467" i="12"/>
  <c r="P471" i="12"/>
  <c r="N471" i="12"/>
  <c r="P475" i="12"/>
  <c r="N475" i="12"/>
  <c r="P479" i="12"/>
  <c r="N479" i="12"/>
  <c r="P483" i="12"/>
  <c r="N483" i="12"/>
  <c r="P487" i="12"/>
  <c r="N487" i="12"/>
  <c r="O37" i="12"/>
  <c r="O39" i="12"/>
  <c r="O41" i="12"/>
  <c r="O43" i="12"/>
  <c r="O45" i="12"/>
  <c r="O47" i="12"/>
  <c r="O49" i="12"/>
  <c r="O51" i="12"/>
  <c r="O53" i="12"/>
  <c r="O55" i="12"/>
  <c r="O57" i="12"/>
  <c r="O59" i="12"/>
  <c r="O61" i="12"/>
  <c r="O63" i="12"/>
  <c r="O65" i="12"/>
  <c r="O67" i="12"/>
  <c r="O69" i="12"/>
  <c r="O71" i="12"/>
  <c r="O73" i="12"/>
  <c r="O75" i="12"/>
  <c r="O77" i="12"/>
  <c r="O79" i="12"/>
  <c r="O81" i="12"/>
  <c r="O83" i="12"/>
  <c r="O85" i="12"/>
  <c r="O87" i="12"/>
  <c r="O89" i="12"/>
  <c r="O91" i="12"/>
  <c r="O93" i="12"/>
  <c r="O95" i="12"/>
  <c r="O97" i="12"/>
  <c r="O99" i="12"/>
  <c r="O101" i="12"/>
  <c r="O103" i="12"/>
  <c r="O105" i="12"/>
  <c r="O107" i="12"/>
  <c r="O109" i="12"/>
  <c r="O111" i="12"/>
  <c r="O113" i="12"/>
  <c r="O115" i="12"/>
  <c r="O117" i="12"/>
  <c r="O119" i="12"/>
  <c r="O121" i="12"/>
  <c r="O123" i="12"/>
  <c r="O125" i="12"/>
  <c r="O127" i="12"/>
  <c r="O129" i="12"/>
  <c r="O131" i="12"/>
  <c r="O133" i="12"/>
  <c r="O135" i="12"/>
  <c r="O137" i="12"/>
  <c r="O139" i="12"/>
  <c r="O141" i="12"/>
  <c r="O143" i="12"/>
  <c r="O145" i="12"/>
  <c r="O147" i="12"/>
  <c r="O149" i="12"/>
  <c r="O151" i="12"/>
  <c r="O153" i="12"/>
  <c r="O155" i="12"/>
  <c r="O157" i="12"/>
  <c r="O159" i="12"/>
  <c r="O161" i="12"/>
  <c r="O166" i="12"/>
  <c r="O170" i="12"/>
  <c r="O174" i="12"/>
  <c r="O178" i="12"/>
  <c r="O182" i="12"/>
  <c r="O186" i="12"/>
  <c r="O190" i="12"/>
  <c r="O194" i="12"/>
  <c r="O198" i="12"/>
  <c r="O207" i="12"/>
  <c r="O215" i="12"/>
  <c r="O222" i="12"/>
  <c r="O229" i="12"/>
  <c r="O255" i="12"/>
  <c r="O262" i="12"/>
  <c r="O269" i="12"/>
  <c r="O277" i="12"/>
  <c r="O285" i="12"/>
  <c r="O293" i="12"/>
  <c r="O326" i="12"/>
  <c r="O335" i="12"/>
  <c r="O343" i="12"/>
  <c r="O351" i="12"/>
  <c r="O358" i="12"/>
  <c r="O373" i="12"/>
  <c r="O459" i="12"/>
  <c r="O467" i="12"/>
  <c r="O474" i="12"/>
  <c r="O482" i="12"/>
  <c r="O490" i="12"/>
  <c r="O374" i="12"/>
  <c r="O382" i="12"/>
  <c r="O398" i="12"/>
  <c r="O406" i="12"/>
  <c r="O414" i="12"/>
  <c r="O430" i="12"/>
  <c r="O446" i="12"/>
  <c r="M31" i="12"/>
  <c r="O203" i="12"/>
  <c r="O213" i="12"/>
  <c r="O221" i="12"/>
  <c r="O230" i="12"/>
  <c r="O238" i="12"/>
  <c r="O246" i="12"/>
  <c r="O254" i="12"/>
  <c r="O263" i="12"/>
  <c r="O271" i="12"/>
  <c r="O281" i="12"/>
  <c r="O297" i="12"/>
  <c r="O315" i="12"/>
  <c r="O322" i="12"/>
  <c r="O329" i="12"/>
  <c r="O337" i="12"/>
  <c r="O346" i="12"/>
  <c r="O355" i="12"/>
  <c r="O363" i="12"/>
  <c r="O371" i="12"/>
  <c r="O381" i="12"/>
  <c r="O389" i="12"/>
  <c r="O397" i="12"/>
  <c r="O405" i="12"/>
  <c r="O413" i="12"/>
  <c r="O421" i="12"/>
  <c r="O429" i="12"/>
  <c r="O445" i="12"/>
  <c r="O453" i="12"/>
  <c r="O461" i="12"/>
  <c r="O483" i="12"/>
  <c r="O491" i="12"/>
  <c r="O27" i="12"/>
  <c r="P27" i="12" s="1"/>
  <c r="N27" i="12"/>
  <c r="P16" i="12"/>
  <c r="N16" i="12"/>
  <c r="O29" i="12"/>
  <c r="P29" i="12"/>
  <c r="N29" i="12"/>
  <c r="P19" i="12"/>
  <c r="N19" i="12"/>
  <c r="O12" i="12"/>
  <c r="P12" i="12" s="1"/>
  <c r="F12" i="12"/>
  <c r="O18" i="12"/>
  <c r="P18" i="12" s="1"/>
  <c r="F18" i="12"/>
  <c r="O34" i="12"/>
  <c r="P34" i="12" s="1"/>
  <c r="F34" i="12"/>
  <c r="M42" i="15"/>
  <c r="O40" i="15" s="1"/>
  <c r="O33" i="15"/>
  <c r="O25" i="12"/>
  <c r="P25" i="12" s="1"/>
  <c r="O34" i="15"/>
  <c r="P36" i="12"/>
  <c r="N36" i="12"/>
  <c r="P40" i="12"/>
  <c r="N40" i="12"/>
  <c r="P44" i="12"/>
  <c r="N44" i="12"/>
  <c r="P48" i="12"/>
  <c r="N48" i="12"/>
  <c r="P52" i="12"/>
  <c r="N52" i="12"/>
  <c r="P56" i="12"/>
  <c r="N56" i="12"/>
  <c r="P60" i="12"/>
  <c r="N60" i="12"/>
  <c r="P64" i="12"/>
  <c r="N64" i="12"/>
  <c r="P68" i="12"/>
  <c r="N68" i="12"/>
  <c r="P72" i="12"/>
  <c r="N72" i="12"/>
  <c r="P76" i="12"/>
  <c r="N76" i="12"/>
  <c r="P80" i="12"/>
  <c r="N80" i="12"/>
  <c r="P84" i="12"/>
  <c r="N84" i="12"/>
  <c r="P88" i="12"/>
  <c r="N88" i="12"/>
  <c r="P92" i="12"/>
  <c r="N92" i="12"/>
  <c r="P96" i="12"/>
  <c r="N96" i="12"/>
  <c r="P100" i="12"/>
  <c r="N100" i="12"/>
  <c r="P104" i="12"/>
  <c r="N104" i="12"/>
  <c r="P108" i="12"/>
  <c r="N108" i="12"/>
  <c r="P112" i="12"/>
  <c r="N112" i="12"/>
  <c r="P116" i="12"/>
  <c r="N116" i="12"/>
  <c r="P120" i="12"/>
  <c r="N120" i="12"/>
  <c r="P124" i="12"/>
  <c r="N124" i="12"/>
  <c r="P128" i="12"/>
  <c r="N128" i="12"/>
  <c r="P132" i="12"/>
  <c r="N132" i="12"/>
  <c r="P136" i="12"/>
  <c r="N136" i="12"/>
  <c r="P140" i="12"/>
  <c r="N140" i="12"/>
  <c r="P144" i="12"/>
  <c r="N144" i="12"/>
  <c r="P148" i="12"/>
  <c r="N148" i="12"/>
  <c r="P152" i="12"/>
  <c r="N152" i="12"/>
  <c r="P156" i="12"/>
  <c r="N156" i="12"/>
  <c r="P160" i="12"/>
  <c r="N160" i="12"/>
  <c r="P164" i="12"/>
  <c r="N164" i="12"/>
  <c r="P168" i="12"/>
  <c r="N168" i="12"/>
  <c r="P172" i="12"/>
  <c r="N172" i="12"/>
  <c r="P176" i="12"/>
  <c r="N176" i="12"/>
  <c r="P180" i="12"/>
  <c r="N180" i="12"/>
  <c r="P184" i="12"/>
  <c r="N184" i="12"/>
  <c r="P188" i="12"/>
  <c r="N188" i="12"/>
  <c r="P192" i="12"/>
  <c r="N192" i="12"/>
  <c r="P196" i="12"/>
  <c r="N196" i="12"/>
  <c r="P200" i="12"/>
  <c r="N200" i="12"/>
  <c r="P204" i="12"/>
  <c r="N204" i="12"/>
  <c r="P208" i="12"/>
  <c r="N208" i="12"/>
  <c r="P212" i="12"/>
  <c r="N212" i="12"/>
  <c r="P216" i="12"/>
  <c r="N216" i="12"/>
  <c r="P220" i="12"/>
  <c r="N220" i="12"/>
  <c r="P224" i="12"/>
  <c r="N224" i="12"/>
  <c r="P228" i="12"/>
  <c r="N228" i="12"/>
  <c r="P232" i="12"/>
  <c r="N232" i="12"/>
  <c r="P236" i="12"/>
  <c r="N236" i="12"/>
  <c r="P240" i="12"/>
  <c r="N240" i="12"/>
  <c r="P244" i="12"/>
  <c r="N244" i="12"/>
  <c r="P248" i="12"/>
  <c r="N248" i="12"/>
  <c r="P252" i="12"/>
  <c r="N252" i="12"/>
  <c r="P256" i="12"/>
  <c r="N256" i="12"/>
  <c r="P260" i="12"/>
  <c r="N260" i="12"/>
  <c r="P264" i="12"/>
  <c r="N264" i="12"/>
  <c r="P268" i="12"/>
  <c r="N268" i="12"/>
  <c r="P272" i="12"/>
  <c r="N272" i="12"/>
  <c r="P276" i="12"/>
  <c r="N276" i="12"/>
  <c r="P280" i="12"/>
  <c r="N280" i="12"/>
  <c r="P284" i="12"/>
  <c r="N284" i="12"/>
  <c r="P288" i="12"/>
  <c r="N288" i="12"/>
  <c r="P292" i="12"/>
  <c r="N292" i="12"/>
  <c r="P296" i="12"/>
  <c r="N296" i="12"/>
  <c r="P493" i="12"/>
  <c r="N493" i="12"/>
  <c r="P497" i="12"/>
  <c r="N497" i="12"/>
  <c r="M34" i="12"/>
  <c r="N34" i="12" s="1"/>
  <c r="P300" i="12"/>
  <c r="N300" i="12"/>
  <c r="P304" i="12"/>
  <c r="N304" i="12"/>
  <c r="P308" i="12"/>
  <c r="N308" i="12"/>
  <c r="P312" i="12"/>
  <c r="N312" i="12"/>
  <c r="P316" i="12"/>
  <c r="N316" i="12"/>
  <c r="P320" i="12"/>
  <c r="N320" i="12"/>
  <c r="P324" i="12"/>
  <c r="N324" i="12"/>
  <c r="P328" i="12"/>
  <c r="N328" i="12"/>
  <c r="P332" i="12"/>
  <c r="N332" i="12"/>
  <c r="P336" i="12"/>
  <c r="N336" i="12"/>
  <c r="P340" i="12"/>
  <c r="N340" i="12"/>
  <c r="P344" i="12"/>
  <c r="N344" i="12"/>
  <c r="P348" i="12"/>
  <c r="N348" i="12"/>
  <c r="P352" i="12"/>
  <c r="N352" i="12"/>
  <c r="P356" i="12"/>
  <c r="N356" i="12"/>
  <c r="P360" i="12"/>
  <c r="N360" i="12"/>
  <c r="P364" i="12"/>
  <c r="N364" i="12"/>
  <c r="P368" i="12"/>
  <c r="N368" i="12"/>
  <c r="P372" i="12"/>
  <c r="N372" i="12"/>
  <c r="P376" i="12"/>
  <c r="N376" i="12"/>
  <c r="P380" i="12"/>
  <c r="N380" i="12"/>
  <c r="P384" i="12"/>
  <c r="N384" i="12"/>
  <c r="P388" i="12"/>
  <c r="N388" i="12"/>
  <c r="P392" i="12"/>
  <c r="N392" i="12"/>
  <c r="P396" i="12"/>
  <c r="N396" i="12"/>
  <c r="P400" i="12"/>
  <c r="N400" i="12"/>
  <c r="P404" i="12"/>
  <c r="N404" i="12"/>
  <c r="P408" i="12"/>
  <c r="N408" i="12"/>
  <c r="P412" i="12"/>
  <c r="N412" i="12"/>
  <c r="P416" i="12"/>
  <c r="N416" i="12"/>
  <c r="P420" i="12"/>
  <c r="N420" i="12"/>
  <c r="P424" i="12"/>
  <c r="N424" i="12"/>
  <c r="P428" i="12"/>
  <c r="N428" i="12"/>
  <c r="P432" i="12"/>
  <c r="N432" i="12"/>
  <c r="P436" i="12"/>
  <c r="N436" i="12"/>
  <c r="P440" i="12"/>
  <c r="N440" i="12"/>
  <c r="P444" i="12"/>
  <c r="N444" i="12"/>
  <c r="P448" i="12"/>
  <c r="N448" i="12"/>
  <c r="P452" i="12"/>
  <c r="N452" i="12"/>
  <c r="P456" i="12"/>
  <c r="N456" i="12"/>
  <c r="P460" i="12"/>
  <c r="N460" i="12"/>
  <c r="P464" i="12"/>
  <c r="N464" i="12"/>
  <c r="P468" i="12"/>
  <c r="N468" i="12"/>
  <c r="P472" i="12"/>
  <c r="N472" i="12"/>
  <c r="P476" i="12"/>
  <c r="N476" i="12"/>
  <c r="P480" i="12"/>
  <c r="N480" i="12"/>
  <c r="P484" i="12"/>
  <c r="N484" i="12"/>
  <c r="P488" i="12"/>
  <c r="N488" i="12"/>
  <c r="O66" i="12"/>
  <c r="O98" i="12"/>
  <c r="O448" i="12"/>
  <c r="O478" i="12"/>
  <c r="O498" i="12"/>
  <c r="O205" i="12"/>
  <c r="O214" i="12"/>
  <c r="O223" i="12"/>
  <c r="O231" i="12"/>
  <c r="O237" i="12"/>
  <c r="O245" i="12"/>
  <c r="O253" i="12"/>
  <c r="O261" i="12"/>
  <c r="O270" i="12"/>
  <c r="O279" i="12"/>
  <c r="O287" i="12"/>
  <c r="O295" i="12"/>
  <c r="O301" i="12"/>
  <c r="O309" i="12"/>
  <c r="O317" i="12"/>
  <c r="O324" i="12"/>
  <c r="O332" i="12"/>
  <c r="O340" i="12"/>
  <c r="O349" i="12"/>
  <c r="O357" i="12"/>
  <c r="O365" i="12"/>
  <c r="O390" i="12"/>
  <c r="O422" i="12"/>
  <c r="O437" i="12"/>
  <c r="O456" i="12"/>
  <c r="O466" i="12"/>
  <c r="O475" i="12"/>
  <c r="O484" i="12"/>
  <c r="O492" i="12"/>
  <c r="P500" i="12"/>
  <c r="N500" i="12"/>
  <c r="O464" i="12"/>
  <c r="O480" i="12"/>
  <c r="O499" i="12"/>
  <c r="O30" i="12" l="1"/>
  <c r="N30" i="12"/>
  <c r="N12" i="12"/>
  <c r="P24" i="15"/>
  <c r="P23" i="15"/>
  <c r="P25" i="15"/>
  <c r="P15" i="15"/>
  <c r="P19" i="15"/>
  <c r="P17" i="15"/>
  <c r="P13" i="15"/>
  <c r="P18" i="15"/>
  <c r="P14" i="15"/>
  <c r="P20" i="15"/>
  <c r="N42" i="15"/>
  <c r="P16" i="15"/>
  <c r="P21" i="15"/>
  <c r="O26" i="15"/>
  <c r="P36" i="15"/>
  <c r="P35" i="15"/>
  <c r="P38" i="15"/>
  <c r="P33" i="15"/>
  <c r="P31" i="15"/>
  <c r="P32" i="15"/>
  <c r="P39" i="15"/>
  <c r="P30" i="15"/>
  <c r="P22" i="15"/>
  <c r="P34" i="15"/>
  <c r="P37" i="1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Office User</author>
  </authors>
  <commentList>
    <comment ref="H6" authorId="0" shapeId="0" xr:uid="{00000000-0006-0000-0400-000001000000}">
      <text>
        <r>
          <rPr>
            <b/>
            <sz val="10"/>
            <color indexed="81"/>
            <rFont val="Calibri"/>
            <family val="2"/>
          </rPr>
          <t>Matt Malouf
Specials skills required such as understanding of an industry or specialised technology</t>
        </r>
      </text>
    </comment>
    <comment ref="I6" authorId="0" shapeId="0" xr:uid="{00000000-0006-0000-0400-000002000000}">
      <text>
        <r>
          <rPr>
            <b/>
            <sz val="10"/>
            <color indexed="81"/>
            <rFont val="Calibri"/>
            <family val="2"/>
          </rPr>
          <t>Matt Malouf
Task Importance – e.g. low importance tasks, if not completed properly don’t affect business outcomes. 
High importance tasks are business critical.</t>
        </r>
      </text>
    </comment>
  </commentList>
</comments>
</file>

<file path=xl/sharedStrings.xml><?xml version="1.0" encoding="utf-8"?>
<sst xmlns="http://schemas.openxmlformats.org/spreadsheetml/2006/main" count="298" uniqueCount="191">
  <si>
    <t>Excellence</t>
  </si>
  <si>
    <t>High</t>
  </si>
  <si>
    <t>Low</t>
  </si>
  <si>
    <t>Competence</t>
  </si>
  <si>
    <t>Med</t>
  </si>
  <si>
    <t>Yes</t>
  </si>
  <si>
    <t>Daily</t>
  </si>
  <si>
    <t>Weekly</t>
  </si>
  <si>
    <t>No</t>
  </si>
  <si>
    <t>Calculating your hourly rate</t>
  </si>
  <si>
    <t>Zone</t>
  </si>
  <si>
    <t>Monthly</t>
  </si>
  <si>
    <t>Quarterly</t>
  </si>
  <si>
    <t>Other</t>
  </si>
  <si>
    <t>Emails</t>
  </si>
  <si>
    <t>To calculate your hourly rate simply follow the 3 easy steps below:</t>
  </si>
  <si>
    <t>Task</t>
  </si>
  <si>
    <t>Frequency</t>
  </si>
  <si>
    <t>Incompentence</t>
  </si>
  <si>
    <t>Genius</t>
  </si>
  <si>
    <t>Description</t>
  </si>
  <si>
    <t>Special Skills Required</t>
  </si>
  <si>
    <t>My Hourly Rate</t>
  </si>
  <si>
    <t>Hourly Rate Investment for Someone Else to do this task</t>
  </si>
  <si>
    <t>Suggested Decision</t>
  </si>
  <si>
    <t>Are you Ready To Stop Doing?</t>
  </si>
  <si>
    <t>Focus Funnel Outcome</t>
  </si>
  <si>
    <t>Eliminate</t>
  </si>
  <si>
    <t>Automate</t>
  </si>
  <si>
    <t>Delegate</t>
  </si>
  <si>
    <t>How long does this task take? (mins)</t>
  </si>
  <si>
    <t>Is there a system for this task?</t>
  </si>
  <si>
    <t>Great Financial Return: I am really good at this task, I don’t love doing it but need to KEEP doing it.</t>
  </si>
  <si>
    <t>Great Financial Return: I am really good at this task, I don’t love doing it and want to STOP doing it.</t>
  </si>
  <si>
    <t>Low Financial Return: Requires the task drains me of energy and I resist doing it.</t>
  </si>
  <si>
    <t>Unsure of Financial Return, I know I need to do this task but don’t know how.</t>
  </si>
  <si>
    <t>Genius Zone Category</t>
  </si>
  <si>
    <t>Incompetence</t>
  </si>
  <si>
    <t>STEP 1</t>
  </si>
  <si>
    <t>Calculating your hourly rate provides a benchmark for you to measure against. Tasks that can be performed for an investment less than your hourly rate should be delegated internally, outsourced or eliminated.</t>
  </si>
  <si>
    <t>A ÷ B ÷ C = Hrly Rate</t>
  </si>
  <si>
    <t>STEP 2</t>
  </si>
  <si>
    <t>Activity Inventory</t>
  </si>
  <si>
    <t>Brainstorm and list all the tasks you perform or wish you had the time to perform in your business in the space below. 
Use these words to trigger you: Yesterday, Last Week, Monthly, Marketing, Sales, Content, Clients, Team, Admin, Finance</t>
  </si>
  <si>
    <t>STEP 3</t>
  </si>
  <si>
    <t>Your Stop Doing List</t>
  </si>
  <si>
    <t>Net Gain/Loss</t>
  </si>
  <si>
    <t xml:space="preserve">Great Financial Return: I am really good at this task, I love doing it and want to KEEP doing it. </t>
  </si>
  <si>
    <t>In order to understand what you need to "Stop Doing" you must get a clear understanding of what you currently do.</t>
  </si>
  <si>
    <t>Time Log</t>
  </si>
  <si>
    <t>Monday</t>
  </si>
  <si>
    <t>Tuesday</t>
  </si>
  <si>
    <t>Wednesday</t>
  </si>
  <si>
    <t>Thursday</t>
  </si>
  <si>
    <t>Friday</t>
  </si>
  <si>
    <t>Saturday</t>
  </si>
  <si>
    <t>Sunday</t>
  </si>
  <si>
    <t>Category</t>
  </si>
  <si>
    <t>Week Total</t>
  </si>
  <si>
    <t>0500:0515</t>
  </si>
  <si>
    <t>Business</t>
  </si>
  <si>
    <t>Initial/Code</t>
  </si>
  <si>
    <t>Mins</t>
  </si>
  <si>
    <t>Hrs</t>
  </si>
  <si>
    <t>0515:0530</t>
  </si>
  <si>
    <t>Administration</t>
  </si>
  <si>
    <t>Admin</t>
  </si>
  <si>
    <t>0530:0545</t>
  </si>
  <si>
    <t>Delivering Service</t>
  </si>
  <si>
    <t>Delivery</t>
  </si>
  <si>
    <t>0545:0600</t>
  </si>
  <si>
    <t>Sales</t>
  </si>
  <si>
    <t>0600:0615</t>
  </si>
  <si>
    <t>Marketing</t>
  </si>
  <si>
    <t>MKT</t>
  </si>
  <si>
    <t>0615:0630</t>
  </si>
  <si>
    <t>Human Resources</t>
  </si>
  <si>
    <t>HR</t>
  </si>
  <si>
    <t>0630:0645</t>
  </si>
  <si>
    <t>Meeting Internal</t>
  </si>
  <si>
    <t>0645:0700</t>
  </si>
  <si>
    <t>Meeting External</t>
  </si>
  <si>
    <t>Meeting Ext</t>
  </si>
  <si>
    <t>0700:0715</t>
  </si>
  <si>
    <t>Training</t>
  </si>
  <si>
    <t>0715:0730</t>
  </si>
  <si>
    <t>0730:0745</t>
  </si>
  <si>
    <t>0745:0800</t>
  </si>
  <si>
    <t>0800:0815</t>
  </si>
  <si>
    <t>0815:0830</t>
  </si>
  <si>
    <t>0830:0845</t>
  </si>
  <si>
    <t>Sub Total</t>
  </si>
  <si>
    <t>0900:0915</t>
  </si>
  <si>
    <t>0915:0930</t>
  </si>
  <si>
    <t>% Personal</t>
  </si>
  <si>
    <t>0930:0945</t>
  </si>
  <si>
    <t>Personal</t>
  </si>
  <si>
    <t>0945:1000</t>
  </si>
  <si>
    <t>Exercise</t>
  </si>
  <si>
    <t>EX</t>
  </si>
  <si>
    <t>1000:1015</t>
  </si>
  <si>
    <t>Family Time</t>
  </si>
  <si>
    <t>FT</t>
  </si>
  <si>
    <t>1015:1030</t>
  </si>
  <si>
    <t>Date Night</t>
  </si>
  <si>
    <t>DN</t>
  </si>
  <si>
    <t>1030:1045</t>
  </si>
  <si>
    <t>Daily Ritual</t>
  </si>
  <si>
    <t>Ritual</t>
  </si>
  <si>
    <t>1045:1100</t>
  </si>
  <si>
    <t>Sleep</t>
  </si>
  <si>
    <t>1100:1115</t>
  </si>
  <si>
    <t>Rest</t>
  </si>
  <si>
    <t>1115:1130</t>
  </si>
  <si>
    <t>1130:1145</t>
  </si>
  <si>
    <t>1145:1200</t>
  </si>
  <si>
    <t>1200:1215</t>
  </si>
  <si>
    <t>1215:1230</t>
  </si>
  <si>
    <t>1230:1245</t>
  </si>
  <si>
    <t>1245:1300</t>
  </si>
  <si>
    <t>1300:1315</t>
  </si>
  <si>
    <t>1315:1345</t>
  </si>
  <si>
    <t>1345:1400</t>
  </si>
  <si>
    <t>1400:1415</t>
  </si>
  <si>
    <t>Total</t>
  </si>
  <si>
    <t>1415:1430</t>
  </si>
  <si>
    <t>1430:1445</t>
  </si>
  <si>
    <t>1445:1500</t>
  </si>
  <si>
    <t>1500:1515</t>
  </si>
  <si>
    <t>1515:1530</t>
  </si>
  <si>
    <t>1530:1545</t>
  </si>
  <si>
    <t>1545:1600</t>
  </si>
  <si>
    <t>1600:1615</t>
  </si>
  <si>
    <t>1615:1630</t>
  </si>
  <si>
    <t>1630:1645</t>
  </si>
  <si>
    <t>1645:1700</t>
  </si>
  <si>
    <t>1700:1715</t>
  </si>
  <si>
    <t>1715:1730</t>
  </si>
  <si>
    <t>1730:1745</t>
  </si>
  <si>
    <t>1745:1800</t>
  </si>
  <si>
    <t>1800:1815</t>
  </si>
  <si>
    <t>1815:1830</t>
  </si>
  <si>
    <t>1830:1845</t>
  </si>
  <si>
    <t>1845:1900</t>
  </si>
  <si>
    <t>1900:1915</t>
  </si>
  <si>
    <t>1915:1930</t>
  </si>
  <si>
    <t>1930:1945</t>
  </si>
  <si>
    <t>1945:2000</t>
  </si>
  <si>
    <t>2000:2015</t>
  </si>
  <si>
    <t>2015:2030</t>
  </si>
  <si>
    <t>2030:2045</t>
  </si>
  <si>
    <t>2045:2100</t>
  </si>
  <si>
    <t>2100:2115</t>
  </si>
  <si>
    <t>2115:2130</t>
  </si>
  <si>
    <t>2130:2145</t>
  </si>
  <si>
    <t>2145:2200</t>
  </si>
  <si>
    <t>The Stop Doing List</t>
  </si>
  <si>
    <t>%       Total</t>
  </si>
  <si>
    <t>Meeting Int</t>
  </si>
  <si>
    <t>%        Total</t>
  </si>
  <si>
    <t>Zone      (automatic)</t>
  </si>
  <si>
    <t>Hours</t>
  </si>
  <si>
    <t>Week Totals</t>
  </si>
  <si>
    <t>Blank3B</t>
  </si>
  <si>
    <t>Blank4B</t>
  </si>
  <si>
    <t>Blank1P</t>
  </si>
  <si>
    <t>Blank2P</t>
  </si>
  <si>
    <t>Blank3P</t>
  </si>
  <si>
    <t>Blank4P</t>
  </si>
  <si>
    <t>Blank Space 3 - Business</t>
  </si>
  <si>
    <t>Blank Space 4 - Business</t>
  </si>
  <si>
    <t>Blank Space 1 - Personal</t>
  </si>
  <si>
    <t>Blank Space 2 - Personal</t>
  </si>
  <si>
    <t>Blank Space 3 - Personal</t>
  </si>
  <si>
    <t>Blank Space 4 - Personal</t>
  </si>
  <si>
    <t>Operations</t>
  </si>
  <si>
    <t>Ops</t>
  </si>
  <si>
    <t>Business Coaching</t>
  </si>
  <si>
    <t>Coach</t>
  </si>
  <si>
    <r>
      <rPr>
        <b/>
        <sz val="16"/>
        <color theme="1"/>
        <rFont val="Calibri"/>
        <family val="2"/>
        <scheme val="minor"/>
      </rPr>
      <t>A.</t>
    </r>
    <r>
      <rPr>
        <sz val="16"/>
        <color theme="1"/>
        <rFont val="Calibri"/>
        <family val="2"/>
        <scheme val="minor"/>
      </rPr>
      <t xml:space="preserve"> How much money do you want to make in the next 12 months (include money you would like to pay yourself a wage/salary plus dividends)</t>
    </r>
  </si>
  <si>
    <r>
      <rPr>
        <b/>
        <sz val="16"/>
        <color theme="1"/>
        <rFont val="Calibri"/>
        <family val="2"/>
        <scheme val="minor"/>
      </rPr>
      <t>B.</t>
    </r>
    <r>
      <rPr>
        <sz val="16"/>
        <color theme="1"/>
        <rFont val="Calibri"/>
        <family val="2"/>
        <scheme val="minor"/>
      </rPr>
      <t xml:space="preserve"> Determine the number of weeks you intend working in the next 12 months (i.e. 52 - # of weeks holidays)</t>
    </r>
  </si>
  <si>
    <r>
      <rPr>
        <b/>
        <sz val="16"/>
        <color theme="1"/>
        <rFont val="Calibri"/>
        <family val="2"/>
        <scheme val="minor"/>
      </rPr>
      <t>C.</t>
    </r>
    <r>
      <rPr>
        <sz val="16"/>
        <color theme="1"/>
        <rFont val="Calibri"/>
        <family val="2"/>
        <scheme val="minor"/>
      </rPr>
      <t xml:space="preserve">  Determine the total hours you intend working per week</t>
    </r>
  </si>
  <si>
    <t>Keep a time log for a minimum of 2 weeks to understand where you are currently investing/spending your time.</t>
  </si>
  <si>
    <t>Watch the video to understand how to use the time log tool.</t>
  </si>
  <si>
    <t>0845:0900</t>
  </si>
  <si>
    <t>% Business</t>
  </si>
  <si>
    <t>Basic Time Log</t>
  </si>
  <si>
    <t>Advanced Time Log</t>
  </si>
  <si>
    <r>
      <t xml:space="preserve">How long does this task take? </t>
    </r>
    <r>
      <rPr>
        <b/>
        <sz val="12"/>
        <color theme="1"/>
        <rFont val="Calibri"/>
        <family val="2"/>
        <scheme val="minor"/>
      </rPr>
      <t>(mins)</t>
    </r>
  </si>
  <si>
    <r>
      <t xml:space="preserve">Task Importance
</t>
    </r>
    <r>
      <rPr>
        <b/>
        <sz val="14"/>
        <color theme="1"/>
        <rFont val="Calibri"/>
        <family val="2"/>
        <scheme val="minor"/>
      </rPr>
      <t>(Low/Med/High)</t>
    </r>
  </si>
  <si>
    <r>
      <t xml:space="preserve">Opportunity Cost if you continue to do this task </t>
    </r>
    <r>
      <rPr>
        <b/>
        <sz val="14"/>
        <color theme="1"/>
        <rFont val="Calibri"/>
        <family val="2"/>
        <scheme val="minor"/>
      </rPr>
      <t>(Per annum)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</si>
</sst>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&quot;$&quot;#,##0.00;[Red]&quot;$&quot;#,##0.00"/>
    <numFmt numFmtId="165" formatCode="&quot;$&quot;#,##0.00"/>
    <numFmt numFmtId="166" formatCode="&quot;$&quot;#,##0;[Red]&quot;$&quot;#,##0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0"/>
      <color indexed="81"/>
      <name val="Calibri"/>
      <family val="2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i/>
      <sz val="26"/>
      <color rgb="FFCC452F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32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</fonts>
  <fills count="26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F9F9F"/>
        <bgColor indexed="64"/>
      </patternFill>
    </fill>
    <fill>
      <patternFill patternType="solid">
        <fgColor rgb="FFCC452F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rgb="FFD3604D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64BACE"/>
        <bgColor indexed="64"/>
      </patternFill>
    </fill>
    <fill>
      <patternFill patternType="solid">
        <fgColor rgb="FF57FFA3"/>
        <bgColor indexed="64"/>
      </patternFill>
    </fill>
    <fill>
      <patternFill patternType="solid">
        <fgColor rgb="FF97FFC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ADA36F"/>
        <bgColor indexed="64"/>
      </patternFill>
    </fill>
    <fill>
      <patternFill patternType="solid">
        <fgColor rgb="FFCDC7A7"/>
        <bgColor indexed="64"/>
      </patternFill>
    </fill>
    <fill>
      <patternFill patternType="solid">
        <fgColor rgb="FF9CD3E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12">
    <border>
      <left/>
      <right/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dotted">
        <color theme="0" tint="-0.499984740745262"/>
      </left>
      <right/>
      <top style="dotted">
        <color theme="0" tint="-0.499984740745262"/>
      </top>
      <bottom style="dotted">
        <color theme="0" tint="-0.499984740745262"/>
      </bottom>
      <diagonal/>
    </border>
    <border>
      <left/>
      <right style="dotted">
        <color theme="0" tint="-0.499984740745262"/>
      </right>
      <top style="dotted">
        <color theme="0" tint="-0.499984740745262"/>
      </top>
      <bottom style="dotted">
        <color theme="0" tint="-0.499984740745262"/>
      </bottom>
      <diagonal/>
    </border>
  </borders>
  <cellStyleXfs count="30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131">
    <xf numFmtId="0" fontId="0" fillId="0" borderId="0" xfId="0"/>
    <xf numFmtId="0" fontId="6" fillId="0" borderId="0" xfId="0" applyFont="1" applyAlignment="1">
      <alignment vertic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8" fillId="0" borderId="0" xfId="0" applyFont="1"/>
    <xf numFmtId="0" fontId="8" fillId="0" borderId="0" xfId="0" applyFont="1" applyAlignment="1">
      <alignment vertical="center"/>
    </xf>
    <xf numFmtId="0" fontId="8" fillId="0" borderId="0" xfId="9" applyFont="1"/>
    <xf numFmtId="0" fontId="0" fillId="0" borderId="0" xfId="9" applyFont="1" applyAlignment="1">
      <alignment horizontal="center"/>
    </xf>
    <xf numFmtId="0" fontId="0" fillId="0" borderId="0" xfId="9" applyFont="1"/>
    <xf numFmtId="0" fontId="7" fillId="0" borderId="0" xfId="9" applyFont="1"/>
    <xf numFmtId="0" fontId="12" fillId="0" borderId="0" xfId="9" applyFont="1" applyAlignment="1">
      <alignment horizontal="center" vertical="center"/>
    </xf>
    <xf numFmtId="0" fontId="13" fillId="2" borderId="5" xfId="9" applyFont="1" applyFill="1" applyBorder="1" applyAlignment="1">
      <alignment vertical="center"/>
    </xf>
    <xf numFmtId="0" fontId="14" fillId="15" borderId="5" xfId="0" applyFont="1" applyFill="1" applyBorder="1" applyAlignment="1" applyProtection="1">
      <alignment horizontal="left" vertical="center"/>
      <protection locked="0"/>
    </xf>
    <xf numFmtId="0" fontId="14" fillId="15" borderId="5" xfId="9" applyFont="1" applyFill="1" applyBorder="1" applyAlignment="1" applyProtection="1">
      <alignment horizontal="left" vertical="center"/>
      <protection locked="0"/>
    </xf>
    <xf numFmtId="0" fontId="7" fillId="0" borderId="0" xfId="9" applyFont="1" applyAlignment="1">
      <alignment vertical="center"/>
    </xf>
    <xf numFmtId="0" fontId="0" fillId="0" borderId="0" xfId="9" applyFont="1" applyAlignment="1">
      <alignment vertical="center"/>
    </xf>
    <xf numFmtId="9" fontId="0" fillId="0" borderId="0" xfId="10" applyFont="1" applyAlignment="1">
      <alignment horizontal="center"/>
    </xf>
    <xf numFmtId="0" fontId="11" fillId="0" borderId="0" xfId="9" applyFont="1"/>
    <xf numFmtId="0" fontId="11" fillId="0" borderId="0" xfId="9" applyFont="1" applyAlignment="1">
      <alignment horizontal="center"/>
    </xf>
    <xf numFmtId="0" fontId="11" fillId="0" borderId="0" xfId="9" applyFont="1" applyAlignment="1">
      <alignment horizontal="center" vertical="center"/>
    </xf>
    <xf numFmtId="0" fontId="14" fillId="0" borderId="5" xfId="0" applyFont="1" applyBorder="1" applyAlignment="1" applyProtection="1">
      <alignment horizontal="left" vertical="center"/>
      <protection locked="0"/>
    </xf>
    <xf numFmtId="0" fontId="14" fillId="0" borderId="5" xfId="9" applyFont="1" applyBorder="1" applyAlignment="1" applyProtection="1">
      <alignment horizontal="left" vertical="center"/>
      <protection locked="0"/>
    </xf>
    <xf numFmtId="0" fontId="14" fillId="0" borderId="5" xfId="0" applyFont="1" applyBorder="1" applyAlignment="1" applyProtection="1">
      <alignment vertical="center"/>
      <protection locked="0"/>
    </xf>
    <xf numFmtId="0" fontId="14" fillId="2" borderId="5" xfId="0" applyFont="1" applyFill="1" applyBorder="1" applyAlignment="1" applyProtection="1">
      <alignment horizontal="center" vertical="center"/>
      <protection locked="0"/>
    </xf>
    <xf numFmtId="0" fontId="14" fillId="0" borderId="5" xfId="9" applyFont="1" applyBorder="1" applyAlignment="1">
      <alignment horizontal="center" vertical="center"/>
    </xf>
    <xf numFmtId="9" fontId="14" fillId="0" borderId="5" xfId="10" applyFont="1" applyBorder="1" applyAlignment="1">
      <alignment horizontal="center" vertical="center"/>
    </xf>
    <xf numFmtId="0" fontId="14" fillId="8" borderId="5" xfId="0" applyFont="1" applyFill="1" applyBorder="1" applyAlignment="1" applyProtection="1">
      <alignment horizontal="center" vertical="center"/>
      <protection locked="0"/>
    </xf>
    <xf numFmtId="0" fontId="14" fillId="9" borderId="5" xfId="0" applyFont="1" applyFill="1" applyBorder="1" applyAlignment="1" applyProtection="1">
      <alignment horizontal="center" vertical="center"/>
      <protection locked="0"/>
    </xf>
    <xf numFmtId="0" fontId="14" fillId="10" borderId="5" xfId="0" applyFont="1" applyFill="1" applyBorder="1" applyAlignment="1" applyProtection="1">
      <alignment horizontal="center" vertical="center"/>
      <protection locked="0"/>
    </xf>
    <xf numFmtId="0" fontId="14" fillId="11" borderId="5" xfId="0" applyFont="1" applyFill="1" applyBorder="1" applyAlignment="1" applyProtection="1">
      <alignment horizontal="center" vertical="center"/>
      <protection locked="0"/>
    </xf>
    <xf numFmtId="0" fontId="14" fillId="12" borderId="5" xfId="0" applyFont="1" applyFill="1" applyBorder="1" applyAlignment="1" applyProtection="1">
      <alignment horizontal="center" vertical="center"/>
      <protection locked="0"/>
    </xf>
    <xf numFmtId="0" fontId="14" fillId="13" borderId="5" xfId="0" applyFont="1" applyFill="1" applyBorder="1" applyAlignment="1" applyProtection="1">
      <alignment horizontal="center" vertical="center"/>
      <protection locked="0"/>
    </xf>
    <xf numFmtId="0" fontId="14" fillId="14" borderId="5" xfId="0" applyFont="1" applyFill="1" applyBorder="1" applyAlignment="1" applyProtection="1">
      <alignment horizontal="center" vertical="center"/>
      <protection locked="0"/>
    </xf>
    <xf numFmtId="0" fontId="14" fillId="0" borderId="5" xfId="9" applyFont="1" applyBorder="1" applyAlignment="1" applyProtection="1">
      <alignment vertical="center"/>
      <protection locked="0"/>
    </xf>
    <xf numFmtId="0" fontId="14" fillId="0" borderId="5" xfId="0" applyFont="1" applyBorder="1" applyAlignment="1" applyProtection="1">
      <alignment horizontal="center" vertical="center"/>
      <protection locked="0"/>
    </xf>
    <xf numFmtId="0" fontId="14" fillId="18" borderId="5" xfId="0" applyFont="1" applyFill="1" applyBorder="1" applyAlignment="1" applyProtection="1">
      <alignment horizontal="center" vertical="center"/>
      <protection locked="0"/>
    </xf>
    <xf numFmtId="0" fontId="14" fillId="16" borderId="5" xfId="0" applyFont="1" applyFill="1" applyBorder="1" applyAlignment="1" applyProtection="1">
      <alignment horizontal="center" vertical="center"/>
      <protection locked="0"/>
    </xf>
    <xf numFmtId="0" fontId="14" fillId="21" borderId="5" xfId="0" applyFont="1" applyFill="1" applyBorder="1" applyAlignment="1" applyProtection="1">
      <alignment horizontal="center" vertical="center"/>
      <protection locked="0"/>
    </xf>
    <xf numFmtId="0" fontId="14" fillId="17" borderId="5" xfId="0" applyFont="1" applyFill="1" applyBorder="1" applyAlignment="1" applyProtection="1">
      <alignment horizontal="center" vertical="center"/>
      <protection locked="0"/>
    </xf>
    <xf numFmtId="0" fontId="8" fillId="2" borderId="5" xfId="9" applyFont="1" applyFill="1" applyBorder="1" applyAlignment="1">
      <alignment horizontal="center" vertical="center"/>
    </xf>
    <xf numFmtId="0" fontId="0" fillId="0" borderId="0" xfId="9" applyFont="1" applyAlignment="1">
      <alignment horizontal="center" vertical="center"/>
    </xf>
    <xf numFmtId="9" fontId="0" fillId="0" borderId="0" xfId="10" applyFont="1" applyBorder="1" applyAlignment="1">
      <alignment horizontal="center" vertical="center"/>
    </xf>
    <xf numFmtId="0" fontId="14" fillId="19" borderId="5" xfId="0" applyFont="1" applyFill="1" applyBorder="1" applyAlignment="1" applyProtection="1">
      <alignment horizontal="center" vertical="center"/>
      <protection locked="0"/>
    </xf>
    <xf numFmtId="0" fontId="14" fillId="20" borderId="5" xfId="0" applyFont="1" applyFill="1" applyBorder="1" applyAlignment="1" applyProtection="1">
      <alignment horizontal="center" vertical="center"/>
      <protection locked="0"/>
    </xf>
    <xf numFmtId="0" fontId="14" fillId="22" borderId="5" xfId="0" applyFont="1" applyFill="1" applyBorder="1" applyAlignment="1" applyProtection="1">
      <alignment horizontal="center" vertical="center"/>
      <protection locked="0"/>
    </xf>
    <xf numFmtId="0" fontId="14" fillId="23" borderId="5" xfId="0" applyFont="1" applyFill="1" applyBorder="1" applyAlignment="1" applyProtection="1">
      <alignment horizontal="center" vertical="center"/>
      <protection locked="0"/>
    </xf>
    <xf numFmtId="0" fontId="14" fillId="0" borderId="0" xfId="9" applyFont="1" applyAlignment="1">
      <alignment vertical="center"/>
    </xf>
    <xf numFmtId="9" fontId="0" fillId="0" borderId="0" xfId="10" applyFont="1" applyAlignment="1">
      <alignment horizontal="center" vertical="center"/>
    </xf>
    <xf numFmtId="0" fontId="13" fillId="0" borderId="0" xfId="0" applyFont="1" applyAlignment="1">
      <alignment horizontal="center" wrapText="1"/>
    </xf>
    <xf numFmtId="0" fontId="8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164" fontId="15" fillId="0" borderId="0" xfId="0" applyNumberFormat="1" applyFont="1" applyAlignment="1">
      <alignment horizontal="center" vertical="center"/>
    </xf>
    <xf numFmtId="0" fontId="15" fillId="0" borderId="0" xfId="0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1" fontId="15" fillId="0" borderId="0" xfId="0" applyNumberFormat="1" applyFont="1" applyAlignment="1">
      <alignment vertical="center"/>
    </xf>
    <xf numFmtId="0" fontId="8" fillId="0" borderId="0" xfId="0" applyFont="1" applyAlignment="1">
      <alignment wrapText="1"/>
    </xf>
    <xf numFmtId="0" fontId="17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9" fillId="0" borderId="0" xfId="0" applyFont="1" applyAlignment="1">
      <alignment vertical="center"/>
    </xf>
    <xf numFmtId="0" fontId="20" fillId="3" borderId="2" xfId="0" applyFont="1" applyFill="1" applyBorder="1" applyAlignment="1">
      <alignment vertical="center" wrapText="1"/>
    </xf>
    <xf numFmtId="0" fontId="20" fillId="3" borderId="3" xfId="0" applyFont="1" applyFill="1" applyBorder="1" applyAlignment="1">
      <alignment vertical="center" wrapText="1"/>
    </xf>
    <xf numFmtId="0" fontId="8" fillId="0" borderId="0" xfId="0" applyFont="1" applyAlignment="1">
      <alignment horizontal="center"/>
    </xf>
    <xf numFmtId="0" fontId="20" fillId="3" borderId="4" xfId="0" applyFont="1" applyFill="1" applyBorder="1" applyAlignment="1">
      <alignment vertical="center" wrapText="1"/>
    </xf>
    <xf numFmtId="0" fontId="20" fillId="3" borderId="1" xfId="0" applyFont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7" fillId="0" borderId="0" xfId="0" applyFont="1"/>
    <xf numFmtId="0" fontId="7" fillId="0" borderId="0" xfId="0" applyFont="1" applyAlignment="1">
      <alignment horizont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center"/>
    </xf>
    <xf numFmtId="0" fontId="14" fillId="2" borderId="5" xfId="0" applyFont="1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5" xfId="0" applyBorder="1" applyAlignment="1" applyProtection="1">
      <alignment vertical="center"/>
      <protection locked="0"/>
    </xf>
    <xf numFmtId="0" fontId="0" fillId="0" borderId="5" xfId="0" applyBorder="1" applyAlignment="1" applyProtection="1">
      <alignment horizontal="center" vertical="center"/>
      <protection locked="0"/>
    </xf>
    <xf numFmtId="165" fontId="0" fillId="0" borderId="0" xfId="27" applyNumberFormat="1" applyFont="1" applyAlignment="1">
      <alignment horizontal="center"/>
    </xf>
    <xf numFmtId="165" fontId="0" fillId="0" borderId="0" xfId="0" applyNumberFormat="1" applyAlignment="1">
      <alignment horizontal="center"/>
    </xf>
    <xf numFmtId="0" fontId="20" fillId="3" borderId="0" xfId="0" applyFont="1" applyFill="1" applyAlignment="1">
      <alignment vertical="center" wrapText="1"/>
    </xf>
    <xf numFmtId="165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165" fontId="8" fillId="0" borderId="0" xfId="0" applyNumberFormat="1" applyFont="1" applyAlignment="1">
      <alignment horizontal="center" vertical="center" wrapText="1"/>
    </xf>
    <xf numFmtId="0" fontId="14" fillId="2" borderId="5" xfId="0" applyFont="1" applyFill="1" applyBorder="1" applyAlignment="1">
      <alignment vertical="center" wrapText="1"/>
    </xf>
    <xf numFmtId="0" fontId="14" fillId="2" borderId="5" xfId="0" applyFont="1" applyFill="1" applyBorder="1" applyAlignment="1">
      <alignment horizontal="center" vertical="center" wrapText="1"/>
    </xf>
    <xf numFmtId="0" fontId="14" fillId="0" borderId="5" xfId="0" applyFont="1" applyBorder="1" applyAlignment="1" applyProtection="1">
      <alignment vertical="center" wrapText="1"/>
      <protection locked="0"/>
    </xf>
    <xf numFmtId="165" fontId="14" fillId="0" borderId="5" xfId="27" applyNumberFormat="1" applyFont="1" applyBorder="1" applyAlignment="1" applyProtection="1">
      <alignment horizontal="center" vertical="center"/>
      <protection locked="0"/>
    </xf>
    <xf numFmtId="165" fontId="14" fillId="2" borderId="5" xfId="27" applyNumberFormat="1" applyFont="1" applyFill="1" applyBorder="1" applyAlignment="1">
      <alignment horizontal="center" vertical="center"/>
    </xf>
    <xf numFmtId="165" fontId="14" fillId="2" borderId="5" xfId="0" applyNumberFormat="1" applyFont="1" applyFill="1" applyBorder="1" applyAlignment="1">
      <alignment horizontal="center" vertical="center"/>
    </xf>
    <xf numFmtId="0" fontId="10" fillId="24" borderId="0" xfId="0" applyFont="1" applyFill="1" applyAlignment="1">
      <alignment vertical="center"/>
    </xf>
    <xf numFmtId="0" fontId="8" fillId="24" borderId="0" xfId="0" applyFont="1" applyFill="1" applyAlignment="1">
      <alignment vertical="center"/>
    </xf>
    <xf numFmtId="0" fontId="11" fillId="25" borderId="5" xfId="9" applyFont="1" applyFill="1" applyBorder="1" applyAlignment="1">
      <alignment horizontal="center" vertical="center"/>
    </xf>
    <xf numFmtId="0" fontId="11" fillId="25" borderId="5" xfId="9" applyFont="1" applyFill="1" applyBorder="1"/>
    <xf numFmtId="0" fontId="11" fillId="25" borderId="5" xfId="9" applyFont="1" applyFill="1" applyBorder="1" applyAlignment="1">
      <alignment horizontal="center"/>
    </xf>
    <xf numFmtId="0" fontId="11" fillId="25" borderId="5" xfId="9" applyFont="1" applyFill="1" applyBorder="1" applyAlignment="1">
      <alignment vertical="center"/>
    </xf>
    <xf numFmtId="0" fontId="11" fillId="25" borderId="5" xfId="0" applyFont="1" applyFill="1" applyBorder="1" applyAlignment="1">
      <alignment vertical="center"/>
    </xf>
    <xf numFmtId="0" fontId="11" fillId="25" borderId="5" xfId="0" applyFont="1" applyFill="1" applyBorder="1" applyAlignment="1">
      <alignment horizontal="center" vertical="center" wrapText="1"/>
    </xf>
    <xf numFmtId="0" fontId="11" fillId="25" borderId="5" xfId="0" applyFont="1" applyFill="1" applyBorder="1" applyAlignment="1">
      <alignment vertical="center" wrapText="1"/>
    </xf>
    <xf numFmtId="165" fontId="11" fillId="25" borderId="5" xfId="0" applyNumberFormat="1" applyFont="1" applyFill="1" applyBorder="1" applyAlignment="1">
      <alignment horizontal="center" vertical="center" wrapText="1"/>
    </xf>
    <xf numFmtId="0" fontId="22" fillId="0" borderId="0" xfId="0" applyFont="1" applyAlignment="1" applyProtection="1">
      <alignment horizontal="left"/>
      <protection locked="0"/>
    </xf>
    <xf numFmtId="0" fontId="23" fillId="0" borderId="0" xfId="0" applyFont="1" applyAlignment="1" applyProtection="1">
      <alignment horizontal="left"/>
      <protection locked="0"/>
    </xf>
    <xf numFmtId="0" fontId="11" fillId="25" borderId="8" xfId="9" applyFont="1" applyFill="1" applyBorder="1" applyAlignment="1">
      <alignment horizontal="center"/>
    </xf>
    <xf numFmtId="0" fontId="11" fillId="25" borderId="9" xfId="9" applyFont="1" applyFill="1" applyBorder="1" applyAlignment="1">
      <alignment horizontal="center"/>
    </xf>
    <xf numFmtId="0" fontId="9" fillId="24" borderId="0" xfId="0" applyFont="1" applyFill="1" applyAlignment="1">
      <alignment horizontal="left" vertical="center"/>
    </xf>
    <xf numFmtId="0" fontId="10" fillId="24" borderId="0" xfId="0" applyFont="1" applyFill="1" applyAlignment="1">
      <alignment horizontal="left" vertical="center"/>
    </xf>
    <xf numFmtId="0" fontId="11" fillId="25" borderId="6" xfId="9" applyFont="1" applyFill="1" applyBorder="1" applyAlignment="1">
      <alignment horizontal="center" vertical="center"/>
    </xf>
    <xf numFmtId="0" fontId="11" fillId="25" borderId="7" xfId="9" applyFont="1" applyFill="1" applyBorder="1" applyAlignment="1">
      <alignment horizontal="center" vertical="center"/>
    </xf>
    <xf numFmtId="0" fontId="11" fillId="25" borderId="5" xfId="9" applyFont="1" applyFill="1" applyBorder="1" applyAlignment="1">
      <alignment horizontal="center" vertical="center" wrapText="1"/>
    </xf>
    <xf numFmtId="0" fontId="8" fillId="2" borderId="5" xfId="9" applyFont="1" applyFill="1" applyBorder="1" applyAlignment="1">
      <alignment horizontal="center" vertical="center"/>
    </xf>
    <xf numFmtId="0" fontId="8" fillId="2" borderId="8" xfId="9" applyFont="1" applyFill="1" applyBorder="1" applyAlignment="1">
      <alignment horizontal="left" vertical="center"/>
    </xf>
    <xf numFmtId="0" fontId="8" fillId="2" borderId="9" xfId="9" applyFont="1" applyFill="1" applyBorder="1" applyAlignment="1">
      <alignment horizontal="left" vertical="center"/>
    </xf>
    <xf numFmtId="9" fontId="11" fillId="2" borderId="8" xfId="10" applyFont="1" applyFill="1" applyBorder="1" applyAlignment="1">
      <alignment horizontal="center" vertical="center"/>
    </xf>
    <xf numFmtId="9" fontId="11" fillId="2" borderId="9" xfId="10" applyFont="1" applyFill="1" applyBorder="1" applyAlignment="1">
      <alignment horizontal="center" vertical="center"/>
    </xf>
    <xf numFmtId="0" fontId="11" fillId="25" borderId="8" xfId="9" applyFont="1" applyFill="1" applyBorder="1" applyAlignment="1">
      <alignment horizontal="center" vertical="center"/>
    </xf>
    <xf numFmtId="0" fontId="11" fillId="25" borderId="9" xfId="9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 wrapText="1"/>
    </xf>
    <xf numFmtId="0" fontId="9" fillId="24" borderId="0" xfId="0" applyFont="1" applyFill="1" applyAlignment="1">
      <alignment vertical="center"/>
    </xf>
    <xf numFmtId="166" fontId="15" fillId="2" borderId="10" xfId="0" applyNumberFormat="1" applyFont="1" applyFill="1" applyBorder="1" applyAlignment="1" applyProtection="1">
      <alignment horizontal="center" vertical="center"/>
      <protection locked="0"/>
    </xf>
    <xf numFmtId="166" fontId="15" fillId="2" borderId="11" xfId="0" applyNumberFormat="1" applyFont="1" applyFill="1" applyBorder="1" applyAlignment="1" applyProtection="1">
      <alignment horizontal="center" vertical="center"/>
      <protection locked="0"/>
    </xf>
    <xf numFmtId="1" fontId="15" fillId="2" borderId="10" xfId="0" applyNumberFormat="1" applyFont="1" applyFill="1" applyBorder="1" applyAlignment="1" applyProtection="1">
      <alignment horizontal="center" vertical="center"/>
      <protection locked="0"/>
    </xf>
    <xf numFmtId="1" fontId="15" fillId="2" borderId="11" xfId="0" applyNumberFormat="1" applyFont="1" applyFill="1" applyBorder="1" applyAlignment="1" applyProtection="1">
      <alignment horizontal="center" vertical="center"/>
      <protection locked="0"/>
    </xf>
    <xf numFmtId="164" fontId="18" fillId="0" borderId="0" xfId="0" applyNumberFormat="1" applyFont="1" applyAlignment="1">
      <alignment horizontal="center"/>
    </xf>
    <xf numFmtId="0" fontId="16" fillId="0" borderId="0" xfId="0" applyFont="1" applyAlignment="1">
      <alignment horizontal="center" wrapText="1"/>
    </xf>
    <xf numFmtId="0" fontId="8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30">
    <cellStyle name="Currency" xfId="27" builtinId="4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9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8" builtinId="8" hidden="1"/>
    <cellStyle name="Normal" xfId="0" builtinId="0"/>
    <cellStyle name="Normal 2" xfId="9" xr:uid="{00000000-0005-0000-0000-00001C000000}"/>
    <cellStyle name="Percent 2" xfId="10" xr:uid="{00000000-0005-0000-0000-00001D000000}"/>
  </cellStyles>
  <dxfs count="41">
    <dxf>
      <font>
        <b/>
        <i val="0"/>
        <color rgb="FFFF0000"/>
      </font>
    </dxf>
    <dxf>
      <font>
        <b/>
        <i val="0"/>
        <color rgb="FF00B050"/>
      </font>
    </dxf>
    <dxf>
      <fill>
        <patternFill>
          <bgColor rgb="FFFF9B9B"/>
        </patternFill>
      </fill>
    </dxf>
    <dxf>
      <fill>
        <patternFill>
          <bgColor theme="6" tint="0.59996337778862885"/>
        </patternFill>
      </fill>
    </dxf>
    <dxf>
      <font>
        <color theme="0" tint="-4.9989318521683403E-2"/>
      </font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 patternType="solid">
          <fgColor rgb="FF57FFA3"/>
          <bgColor rgb="FF57FFA3"/>
        </patternFill>
      </fill>
    </dxf>
    <dxf>
      <fill>
        <patternFill>
          <bgColor theme="0" tint="-0.24994659260841701"/>
        </patternFill>
      </fill>
    </dxf>
    <dxf>
      <fill>
        <patternFill>
          <fgColor rgb="FFADA36F"/>
          <bgColor rgb="FFADA36F"/>
        </patternFill>
      </fill>
    </dxf>
    <dxf>
      <fill>
        <patternFill>
          <fgColor rgb="FF64BACE"/>
          <bgColor rgb="FF64BACE"/>
        </patternFill>
      </fill>
    </dxf>
    <dxf>
      <fill>
        <patternFill>
          <fgColor rgb="FF97FFC6"/>
          <bgColor rgb="FF97FFC6"/>
        </patternFill>
      </fill>
    </dxf>
    <dxf>
      <fill>
        <patternFill>
          <bgColor theme="0" tint="-0.14996795556505021"/>
        </patternFill>
      </fill>
    </dxf>
    <dxf>
      <fill>
        <patternFill>
          <fgColor rgb="FFCDC7A7"/>
          <bgColor rgb="FFCDC7A7"/>
        </patternFill>
      </fill>
    </dxf>
    <dxf>
      <fill>
        <patternFill>
          <fgColor rgb="FF9CD3E0"/>
          <bgColor rgb="FF9CD3E0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  <dxf>
      <fill>
        <patternFill>
          <bgColor theme="7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theme="0" tint="-4.9989318521683403E-2"/>
        </patternFill>
      </fill>
    </dxf>
    <dxf>
      <fill>
        <patternFill>
          <bgColor theme="2" tint="-9.9948118533890809E-2"/>
        </patternFill>
      </fill>
    </dxf>
    <dxf>
      <fill>
        <patternFill>
          <bgColor rgb="FFFFFF99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6" tint="0.59996337778862885"/>
        </patternFill>
      </fill>
    </dxf>
  </dxfs>
  <tableStyles count="0" defaultTableStyle="TableStyleMedium9" defaultPivotStyle="PivotStyleLight16"/>
  <colors>
    <mruColors>
      <color rgb="FFFF7575"/>
      <color rgb="FF9CD3E0"/>
      <color rgb="FFCDC7A7"/>
      <color rgb="FFADA36F"/>
      <color rgb="FF97FFC6"/>
      <color rgb="FF57FFA3"/>
      <color rgb="FF64BACE"/>
      <color rgb="FF33FF8F"/>
      <color rgb="FF00EA6A"/>
      <color rgb="FFDA786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523875</xdr:colOff>
      <xdr:row>0</xdr:row>
      <xdr:rowOff>142875</xdr:rowOff>
    </xdr:from>
    <xdr:to>
      <xdr:col>10</xdr:col>
      <xdr:colOff>523875</xdr:colOff>
      <xdr:row>16</xdr:row>
      <xdr:rowOff>17399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FBE9C-3721-4C0E-B1C0-FB66A71F00A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37184" t="33078" r="37478" b="32754"/>
        <a:stretch/>
      </xdr:blipFill>
      <xdr:spPr>
        <a:xfrm>
          <a:off x="4733925" y="142875"/>
          <a:ext cx="6238875" cy="47322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7575"/>
  </sheetPr>
  <dimension ref="B1:I79"/>
  <sheetViews>
    <sheetView showGridLines="0" zoomScaleNormal="100" workbookViewId="0">
      <pane ySplit="11" topLeftCell="A12" activePane="bottomLeft" state="frozen"/>
      <selection activeCell="B2" sqref="B2:P2"/>
      <selection pane="bottomLeft" activeCell="C13" sqref="C13"/>
    </sheetView>
  </sheetViews>
  <sheetFormatPr baseColWidth="10" defaultColWidth="8.83203125" defaultRowHeight="15" x14ac:dyDescent="0.2"/>
  <cols>
    <col min="1" max="1" width="0.83203125" style="10" customWidth="1"/>
    <col min="2" max="2" width="15.5" style="10" customWidth="1"/>
    <col min="3" max="9" width="29.1640625" style="9" customWidth="1"/>
    <col min="10" max="16384" width="8.83203125" style="10"/>
  </cols>
  <sheetData>
    <row r="1" spans="2:9" s="6" customFormat="1" ht="4.5" customHeight="1" x14ac:dyDescent="0.25"/>
    <row r="2" spans="2:9" s="7" customFormat="1" ht="30.75" customHeight="1" x14ac:dyDescent="0.2">
      <c r="B2" s="108" t="s">
        <v>156</v>
      </c>
      <c r="C2" s="108"/>
      <c r="D2" s="108"/>
      <c r="E2" s="108"/>
      <c r="F2" s="108"/>
      <c r="G2" s="108"/>
      <c r="H2" s="108"/>
      <c r="I2" s="108"/>
    </row>
    <row r="3" spans="2:9" s="6" customFormat="1" ht="5.25" customHeight="1" x14ac:dyDescent="0.25"/>
    <row r="4" spans="2:9" s="7" customFormat="1" ht="27" customHeight="1" x14ac:dyDescent="0.2">
      <c r="B4" s="109" t="s">
        <v>186</v>
      </c>
      <c r="C4" s="109"/>
      <c r="D4" s="109"/>
      <c r="E4" s="109"/>
      <c r="F4" s="109"/>
      <c r="G4" s="109"/>
      <c r="H4" s="109"/>
      <c r="I4" s="109"/>
    </row>
    <row r="5" spans="2:9" s="6" customFormat="1" ht="7.5" customHeight="1" x14ac:dyDescent="0.25"/>
    <row r="6" spans="2:9" ht="21.75" customHeight="1" x14ac:dyDescent="0.25">
      <c r="B6" s="8" t="s">
        <v>48</v>
      </c>
      <c r="H6" s="106" t="s">
        <v>162</v>
      </c>
      <c r="I6" s="107"/>
    </row>
    <row r="7" spans="2:9" ht="21.75" customHeight="1" x14ac:dyDescent="0.25">
      <c r="B7" s="8" t="s">
        <v>182</v>
      </c>
      <c r="H7" s="96" t="s">
        <v>62</v>
      </c>
      <c r="I7" s="96" t="s">
        <v>161</v>
      </c>
    </row>
    <row r="8" spans="2:9" ht="21.75" customHeight="1" x14ac:dyDescent="0.25">
      <c r="B8" s="8" t="s">
        <v>183</v>
      </c>
      <c r="H8" s="96">
        <f>COUNTA($C$13:$I$63)*0.25*60</f>
        <v>0</v>
      </c>
      <c r="I8" s="96">
        <f>H8/60</f>
        <v>0</v>
      </c>
    </row>
    <row r="9" spans="2:9" ht="12" customHeight="1" x14ac:dyDescent="0.2"/>
    <row r="10" spans="2:9" s="11" customFormat="1" ht="16.5" customHeight="1" x14ac:dyDescent="0.2">
      <c r="B10" s="110" t="s">
        <v>49</v>
      </c>
      <c r="C10" s="110" t="s">
        <v>50</v>
      </c>
      <c r="D10" s="110" t="s">
        <v>51</v>
      </c>
      <c r="E10" s="110" t="s">
        <v>52</v>
      </c>
      <c r="F10" s="110" t="s">
        <v>53</v>
      </c>
      <c r="G10" s="110" t="s">
        <v>54</v>
      </c>
      <c r="H10" s="110" t="s">
        <v>55</v>
      </c>
      <c r="I10" s="110" t="s">
        <v>56</v>
      </c>
    </row>
    <row r="11" spans="2:9" s="11" customFormat="1" ht="15" customHeight="1" x14ac:dyDescent="0.2">
      <c r="B11" s="111"/>
      <c r="C11" s="111"/>
      <c r="D11" s="111"/>
      <c r="E11" s="111"/>
      <c r="F11" s="111"/>
      <c r="G11" s="111"/>
      <c r="H11" s="111"/>
      <c r="I11" s="111"/>
    </row>
    <row r="12" spans="2:9" s="11" customFormat="1" ht="6.75" customHeight="1" x14ac:dyDescent="0.2">
      <c r="B12" s="12"/>
      <c r="C12" s="12"/>
      <c r="D12" s="12"/>
      <c r="E12" s="12"/>
      <c r="F12" s="12"/>
      <c r="G12" s="12"/>
      <c r="H12" s="12"/>
      <c r="I12" s="12"/>
    </row>
    <row r="13" spans="2:9" s="16" customFormat="1" ht="20" customHeight="1" x14ac:dyDescent="0.2">
      <c r="B13" s="13" t="s">
        <v>59</v>
      </c>
      <c r="C13" s="14"/>
      <c r="D13" s="14"/>
      <c r="E13" s="14"/>
      <c r="F13" s="15"/>
      <c r="G13" s="15"/>
      <c r="H13" s="15"/>
      <c r="I13" s="15"/>
    </row>
    <row r="14" spans="2:9" s="16" customFormat="1" ht="20" customHeight="1" x14ac:dyDescent="0.2">
      <c r="B14" s="13" t="s">
        <v>64</v>
      </c>
      <c r="C14" s="14"/>
      <c r="D14" s="14"/>
      <c r="E14" s="14"/>
      <c r="F14" s="15"/>
      <c r="G14" s="15"/>
      <c r="H14" s="15"/>
      <c r="I14" s="15"/>
    </row>
    <row r="15" spans="2:9" s="16" customFormat="1" ht="20" customHeight="1" x14ac:dyDescent="0.2">
      <c r="B15" s="13" t="s">
        <v>67</v>
      </c>
      <c r="C15" s="14"/>
      <c r="D15" s="14"/>
      <c r="E15" s="14"/>
      <c r="F15" s="15"/>
      <c r="G15" s="15"/>
      <c r="H15" s="15"/>
      <c r="I15" s="15"/>
    </row>
    <row r="16" spans="2:9" s="16" customFormat="1" ht="20" customHeight="1" x14ac:dyDescent="0.2">
      <c r="B16" s="13" t="s">
        <v>70</v>
      </c>
      <c r="C16" s="14"/>
      <c r="D16" s="14"/>
      <c r="E16" s="14"/>
      <c r="F16" s="15"/>
      <c r="G16" s="15"/>
      <c r="H16" s="15"/>
      <c r="I16" s="15"/>
    </row>
    <row r="17" spans="2:9" s="16" customFormat="1" ht="20" customHeight="1" x14ac:dyDescent="0.2">
      <c r="B17" s="13" t="s">
        <v>72</v>
      </c>
      <c r="C17" s="14"/>
      <c r="D17" s="14"/>
      <c r="E17" s="14"/>
      <c r="F17" s="14"/>
      <c r="G17" s="14"/>
      <c r="H17" s="15"/>
      <c r="I17" s="15"/>
    </row>
    <row r="18" spans="2:9" s="16" customFormat="1" ht="20" customHeight="1" x14ac:dyDescent="0.2">
      <c r="B18" s="13" t="s">
        <v>75</v>
      </c>
      <c r="C18" s="14"/>
      <c r="D18" s="14"/>
      <c r="E18" s="14"/>
      <c r="F18" s="14"/>
      <c r="G18" s="14"/>
      <c r="H18" s="15"/>
      <c r="I18" s="15"/>
    </row>
    <row r="19" spans="2:9" s="16" customFormat="1" ht="20" customHeight="1" x14ac:dyDescent="0.2">
      <c r="B19" s="13" t="s">
        <v>78</v>
      </c>
      <c r="C19" s="14"/>
      <c r="D19" s="14"/>
      <c r="E19" s="14"/>
      <c r="F19" s="14"/>
      <c r="G19" s="14"/>
      <c r="H19" s="15"/>
      <c r="I19" s="15"/>
    </row>
    <row r="20" spans="2:9" s="16" customFormat="1" ht="20" customHeight="1" x14ac:dyDescent="0.2">
      <c r="B20" s="13" t="s">
        <v>80</v>
      </c>
      <c r="C20" s="14"/>
      <c r="D20" s="14"/>
      <c r="E20" s="14"/>
      <c r="F20" s="14"/>
      <c r="G20" s="14"/>
      <c r="H20" s="15"/>
      <c r="I20" s="15"/>
    </row>
    <row r="21" spans="2:9" s="16" customFormat="1" ht="20" customHeight="1" x14ac:dyDescent="0.2">
      <c r="B21" s="13" t="s">
        <v>83</v>
      </c>
      <c r="C21" s="14"/>
      <c r="D21" s="14"/>
      <c r="E21" s="14"/>
      <c r="F21" s="14"/>
      <c r="G21" s="14"/>
      <c r="H21" s="14"/>
      <c r="I21" s="14"/>
    </row>
    <row r="22" spans="2:9" s="16" customFormat="1" ht="20" customHeight="1" x14ac:dyDescent="0.2">
      <c r="B22" s="13" t="s">
        <v>85</v>
      </c>
      <c r="C22" s="14"/>
      <c r="D22" s="14"/>
      <c r="E22" s="14"/>
      <c r="F22" s="14"/>
      <c r="G22" s="14"/>
      <c r="H22" s="14"/>
      <c r="I22" s="14"/>
    </row>
    <row r="23" spans="2:9" s="16" customFormat="1" ht="20" customHeight="1" x14ac:dyDescent="0.2">
      <c r="B23" s="13" t="s">
        <v>86</v>
      </c>
      <c r="C23" s="14"/>
      <c r="D23" s="14"/>
      <c r="E23" s="14"/>
      <c r="F23" s="14"/>
      <c r="G23" s="14"/>
      <c r="H23" s="14"/>
      <c r="I23" s="14"/>
    </row>
    <row r="24" spans="2:9" s="16" customFormat="1" ht="20" customHeight="1" x14ac:dyDescent="0.2">
      <c r="B24" s="13" t="s">
        <v>87</v>
      </c>
      <c r="C24" s="14"/>
      <c r="D24" s="14"/>
      <c r="E24" s="14"/>
      <c r="F24" s="14"/>
      <c r="G24" s="14"/>
      <c r="H24" s="14"/>
      <c r="I24" s="14"/>
    </row>
    <row r="25" spans="2:9" s="16" customFormat="1" ht="20" customHeight="1" x14ac:dyDescent="0.2">
      <c r="B25" s="13" t="s">
        <v>88</v>
      </c>
      <c r="C25" s="14"/>
      <c r="D25" s="14"/>
      <c r="E25" s="14"/>
      <c r="F25" s="14"/>
      <c r="G25" s="14"/>
      <c r="H25" s="14"/>
      <c r="I25" s="14"/>
    </row>
    <row r="26" spans="2:9" s="16" customFormat="1" ht="20" customHeight="1" x14ac:dyDescent="0.2">
      <c r="B26" s="13" t="s">
        <v>89</v>
      </c>
      <c r="C26" s="14"/>
      <c r="D26" s="14"/>
      <c r="E26" s="14"/>
      <c r="F26" s="14"/>
      <c r="G26" s="14"/>
      <c r="H26" s="14"/>
      <c r="I26" s="14"/>
    </row>
    <row r="27" spans="2:9" s="16" customFormat="1" ht="20" customHeight="1" x14ac:dyDescent="0.2">
      <c r="B27" s="13" t="s">
        <v>90</v>
      </c>
      <c r="C27" s="14"/>
      <c r="D27" s="14"/>
      <c r="E27" s="14"/>
      <c r="F27" s="14"/>
      <c r="G27" s="14"/>
      <c r="H27" s="14"/>
      <c r="I27" s="14"/>
    </row>
    <row r="28" spans="2:9" s="16" customFormat="1" ht="20" customHeight="1" x14ac:dyDescent="0.2">
      <c r="B28" s="13" t="s">
        <v>184</v>
      </c>
      <c r="C28" s="14"/>
      <c r="D28" s="14"/>
      <c r="E28" s="14"/>
      <c r="F28" s="14"/>
      <c r="G28" s="14"/>
      <c r="H28" s="14"/>
      <c r="I28" s="14"/>
    </row>
    <row r="29" spans="2:9" s="16" customFormat="1" ht="20" customHeight="1" x14ac:dyDescent="0.2">
      <c r="B29" s="13" t="s">
        <v>92</v>
      </c>
      <c r="C29" s="14"/>
      <c r="D29" s="14"/>
      <c r="E29" s="14"/>
      <c r="F29" s="14"/>
      <c r="G29" s="14"/>
      <c r="H29" s="14"/>
      <c r="I29" s="14"/>
    </row>
    <row r="30" spans="2:9" s="17" customFormat="1" ht="20" customHeight="1" x14ac:dyDescent="0.2">
      <c r="B30" s="13" t="s">
        <v>93</v>
      </c>
      <c r="C30" s="14"/>
      <c r="D30" s="14"/>
      <c r="E30" s="14"/>
      <c r="F30" s="14"/>
      <c r="G30" s="14"/>
      <c r="H30" s="14"/>
      <c r="I30" s="14"/>
    </row>
    <row r="31" spans="2:9" s="17" customFormat="1" ht="20" customHeight="1" x14ac:dyDescent="0.2">
      <c r="B31" s="13" t="s">
        <v>95</v>
      </c>
      <c r="C31" s="14"/>
      <c r="D31" s="14"/>
      <c r="E31" s="14"/>
      <c r="F31" s="14"/>
      <c r="G31" s="14"/>
      <c r="H31" s="14"/>
      <c r="I31" s="14"/>
    </row>
    <row r="32" spans="2:9" s="17" customFormat="1" ht="20" customHeight="1" x14ac:dyDescent="0.2">
      <c r="B32" s="13" t="s">
        <v>97</v>
      </c>
      <c r="C32" s="14"/>
      <c r="D32" s="14"/>
      <c r="E32" s="14"/>
      <c r="F32" s="14"/>
      <c r="G32" s="14"/>
      <c r="H32" s="14"/>
      <c r="I32" s="14"/>
    </row>
    <row r="33" spans="2:9" s="17" customFormat="1" ht="20" customHeight="1" x14ac:dyDescent="0.2">
      <c r="B33" s="13" t="s">
        <v>100</v>
      </c>
      <c r="C33" s="14"/>
      <c r="D33" s="14"/>
      <c r="E33" s="14"/>
      <c r="F33" s="14"/>
      <c r="G33" s="14"/>
      <c r="H33" s="14"/>
      <c r="I33" s="14"/>
    </row>
    <row r="34" spans="2:9" s="17" customFormat="1" ht="20" customHeight="1" x14ac:dyDescent="0.2">
      <c r="B34" s="13" t="s">
        <v>103</v>
      </c>
      <c r="C34" s="14"/>
      <c r="D34" s="14"/>
      <c r="E34" s="14"/>
      <c r="F34" s="14"/>
      <c r="G34" s="14"/>
      <c r="H34" s="14"/>
      <c r="I34" s="14"/>
    </row>
    <row r="35" spans="2:9" s="17" customFormat="1" ht="20" customHeight="1" x14ac:dyDescent="0.2">
      <c r="B35" s="13" t="s">
        <v>106</v>
      </c>
      <c r="C35" s="14"/>
      <c r="D35" s="14"/>
      <c r="E35" s="14"/>
      <c r="F35" s="15"/>
      <c r="G35" s="15"/>
      <c r="H35" s="15"/>
      <c r="I35" s="15"/>
    </row>
    <row r="36" spans="2:9" s="17" customFormat="1" ht="20" customHeight="1" x14ac:dyDescent="0.2">
      <c r="B36" s="13" t="s">
        <v>109</v>
      </c>
      <c r="C36" s="14"/>
      <c r="D36" s="14"/>
      <c r="E36" s="14"/>
      <c r="F36" s="15"/>
      <c r="G36" s="15"/>
      <c r="H36" s="15"/>
      <c r="I36" s="15"/>
    </row>
    <row r="37" spans="2:9" s="17" customFormat="1" ht="20" customHeight="1" x14ac:dyDescent="0.2">
      <c r="B37" s="13" t="s">
        <v>111</v>
      </c>
      <c r="C37" s="14"/>
      <c r="D37" s="14"/>
      <c r="E37" s="14"/>
      <c r="F37" s="14"/>
      <c r="G37" s="15"/>
      <c r="H37" s="15"/>
      <c r="I37" s="15"/>
    </row>
    <row r="38" spans="2:9" s="17" customFormat="1" ht="20" customHeight="1" x14ac:dyDescent="0.2">
      <c r="B38" s="13" t="s">
        <v>113</v>
      </c>
      <c r="C38" s="14"/>
      <c r="D38" s="14"/>
      <c r="E38" s="14"/>
      <c r="F38" s="15"/>
      <c r="G38" s="15"/>
      <c r="H38" s="15"/>
      <c r="I38" s="15"/>
    </row>
    <row r="39" spans="2:9" s="17" customFormat="1" ht="20" customHeight="1" x14ac:dyDescent="0.2">
      <c r="B39" s="13" t="s">
        <v>114</v>
      </c>
      <c r="C39" s="14"/>
      <c r="D39" s="14"/>
      <c r="E39" s="14"/>
      <c r="F39" s="15"/>
      <c r="G39" s="15"/>
      <c r="H39" s="15"/>
      <c r="I39" s="15"/>
    </row>
    <row r="40" spans="2:9" s="17" customFormat="1" ht="20" customHeight="1" x14ac:dyDescent="0.2">
      <c r="B40" s="13" t="s">
        <v>115</v>
      </c>
      <c r="C40" s="14"/>
      <c r="D40" s="14"/>
      <c r="E40" s="14"/>
      <c r="F40" s="15"/>
      <c r="G40" s="15"/>
      <c r="H40" s="15"/>
      <c r="I40" s="15"/>
    </row>
    <row r="41" spans="2:9" s="17" customFormat="1" ht="20" customHeight="1" x14ac:dyDescent="0.2">
      <c r="B41" s="13" t="s">
        <v>116</v>
      </c>
      <c r="C41" s="14"/>
      <c r="D41" s="14"/>
      <c r="E41" s="14"/>
      <c r="F41" s="15"/>
      <c r="G41" s="15"/>
      <c r="H41" s="15"/>
      <c r="I41" s="15"/>
    </row>
    <row r="42" spans="2:9" s="17" customFormat="1" ht="20" customHeight="1" x14ac:dyDescent="0.2">
      <c r="B42" s="13" t="s">
        <v>117</v>
      </c>
      <c r="C42" s="14"/>
      <c r="D42" s="14"/>
      <c r="E42" s="14"/>
      <c r="F42" s="15"/>
      <c r="G42" s="15"/>
      <c r="H42" s="15"/>
      <c r="I42" s="15"/>
    </row>
    <row r="43" spans="2:9" s="17" customFormat="1" ht="20" customHeight="1" x14ac:dyDescent="0.2">
      <c r="B43" s="13" t="s">
        <v>118</v>
      </c>
      <c r="C43" s="14"/>
      <c r="D43" s="14"/>
      <c r="E43" s="14"/>
      <c r="F43" s="15"/>
      <c r="G43" s="15"/>
      <c r="H43" s="15"/>
      <c r="I43" s="15"/>
    </row>
    <row r="44" spans="2:9" s="17" customFormat="1" ht="20" customHeight="1" x14ac:dyDescent="0.2">
      <c r="B44" s="13" t="s">
        <v>119</v>
      </c>
      <c r="C44" s="14"/>
      <c r="D44" s="14"/>
      <c r="E44" s="14"/>
      <c r="F44" s="15"/>
      <c r="G44" s="15"/>
      <c r="H44" s="15"/>
      <c r="I44" s="15"/>
    </row>
    <row r="45" spans="2:9" s="17" customFormat="1" ht="20" customHeight="1" x14ac:dyDescent="0.2">
      <c r="B45" s="13" t="s">
        <v>120</v>
      </c>
      <c r="C45" s="14"/>
      <c r="D45" s="14"/>
      <c r="E45" s="14"/>
      <c r="F45" s="15"/>
      <c r="G45" s="15"/>
      <c r="H45" s="15"/>
      <c r="I45" s="15"/>
    </row>
    <row r="46" spans="2:9" s="17" customFormat="1" ht="20" customHeight="1" x14ac:dyDescent="0.2">
      <c r="B46" s="13" t="s">
        <v>121</v>
      </c>
      <c r="C46" s="14"/>
      <c r="D46" s="14"/>
      <c r="E46" s="14"/>
      <c r="F46" s="15"/>
      <c r="G46" s="15"/>
      <c r="H46" s="15"/>
      <c r="I46" s="15"/>
    </row>
    <row r="47" spans="2:9" s="17" customFormat="1" ht="20" customHeight="1" x14ac:dyDescent="0.2">
      <c r="B47" s="13" t="s">
        <v>122</v>
      </c>
      <c r="C47" s="14"/>
      <c r="D47" s="14"/>
      <c r="E47" s="14"/>
      <c r="F47" s="15"/>
      <c r="G47" s="15"/>
      <c r="H47" s="15"/>
      <c r="I47" s="15"/>
    </row>
    <row r="48" spans="2:9" s="17" customFormat="1" ht="20" customHeight="1" x14ac:dyDescent="0.2">
      <c r="B48" s="13" t="s">
        <v>123</v>
      </c>
      <c r="C48" s="14"/>
      <c r="D48" s="14"/>
      <c r="E48" s="14"/>
      <c r="F48" s="15"/>
      <c r="G48" s="15"/>
      <c r="H48" s="15"/>
      <c r="I48" s="15"/>
    </row>
    <row r="49" spans="2:9" s="17" customFormat="1" ht="20" customHeight="1" x14ac:dyDescent="0.2">
      <c r="B49" s="13" t="s">
        <v>125</v>
      </c>
      <c r="C49" s="14"/>
      <c r="D49" s="14"/>
      <c r="E49" s="14"/>
      <c r="F49" s="15"/>
      <c r="G49" s="15"/>
      <c r="H49" s="15"/>
      <c r="I49" s="15"/>
    </row>
    <row r="50" spans="2:9" s="17" customFormat="1" ht="20" customHeight="1" x14ac:dyDescent="0.2">
      <c r="B50" s="13" t="s">
        <v>126</v>
      </c>
      <c r="C50" s="14"/>
      <c r="D50" s="14"/>
      <c r="E50" s="14"/>
      <c r="F50" s="15"/>
      <c r="G50" s="15"/>
      <c r="H50" s="15"/>
      <c r="I50" s="15"/>
    </row>
    <row r="51" spans="2:9" s="17" customFormat="1" ht="20" customHeight="1" x14ac:dyDescent="0.2">
      <c r="B51" s="13" t="s">
        <v>127</v>
      </c>
      <c r="C51" s="14"/>
      <c r="D51" s="14"/>
      <c r="E51" s="14"/>
      <c r="F51" s="15"/>
      <c r="G51" s="15"/>
      <c r="H51" s="15"/>
      <c r="I51" s="15"/>
    </row>
    <row r="52" spans="2:9" s="17" customFormat="1" ht="20" customHeight="1" x14ac:dyDescent="0.2">
      <c r="B52" s="13" t="s">
        <v>128</v>
      </c>
      <c r="C52" s="14"/>
      <c r="D52" s="14"/>
      <c r="E52" s="14"/>
      <c r="F52" s="15"/>
      <c r="G52" s="15"/>
      <c r="H52" s="15"/>
      <c r="I52" s="15"/>
    </row>
    <row r="53" spans="2:9" s="17" customFormat="1" ht="20" customHeight="1" x14ac:dyDescent="0.2">
      <c r="B53" s="13" t="s">
        <v>129</v>
      </c>
      <c r="C53" s="14"/>
      <c r="D53" s="14"/>
      <c r="E53" s="14"/>
      <c r="F53" s="15"/>
      <c r="G53" s="15"/>
      <c r="H53" s="15"/>
      <c r="I53" s="15"/>
    </row>
    <row r="54" spans="2:9" s="17" customFormat="1" ht="20" customHeight="1" x14ac:dyDescent="0.2">
      <c r="B54" s="13" t="s">
        <v>130</v>
      </c>
      <c r="C54" s="14"/>
      <c r="D54" s="14"/>
      <c r="E54" s="14"/>
      <c r="F54" s="15"/>
      <c r="G54" s="15"/>
      <c r="H54" s="15"/>
      <c r="I54" s="15"/>
    </row>
    <row r="55" spans="2:9" s="17" customFormat="1" ht="20" customHeight="1" x14ac:dyDescent="0.2">
      <c r="B55" s="13" t="s">
        <v>131</v>
      </c>
      <c r="C55" s="14"/>
      <c r="D55" s="14"/>
      <c r="E55" s="14"/>
      <c r="F55" s="15"/>
      <c r="G55" s="15"/>
      <c r="H55" s="15"/>
      <c r="I55" s="15"/>
    </row>
    <row r="56" spans="2:9" s="17" customFormat="1" ht="20" customHeight="1" x14ac:dyDescent="0.2">
      <c r="B56" s="13" t="s">
        <v>132</v>
      </c>
      <c r="C56" s="14"/>
      <c r="D56" s="14"/>
      <c r="E56" s="14"/>
      <c r="F56" s="15"/>
      <c r="G56" s="15"/>
      <c r="H56" s="15"/>
      <c r="I56" s="15"/>
    </row>
    <row r="57" spans="2:9" s="17" customFormat="1" ht="20" customHeight="1" x14ac:dyDescent="0.2">
      <c r="B57" s="13" t="s">
        <v>133</v>
      </c>
      <c r="C57" s="14"/>
      <c r="D57" s="14"/>
      <c r="E57" s="14"/>
      <c r="F57" s="15"/>
      <c r="G57" s="15"/>
      <c r="H57" s="15"/>
      <c r="I57" s="15"/>
    </row>
    <row r="58" spans="2:9" s="17" customFormat="1" ht="20" customHeight="1" x14ac:dyDescent="0.2">
      <c r="B58" s="13" t="s">
        <v>134</v>
      </c>
      <c r="C58" s="14"/>
      <c r="D58" s="14"/>
      <c r="E58" s="14"/>
      <c r="F58" s="15"/>
      <c r="G58" s="15"/>
      <c r="H58" s="15"/>
      <c r="I58" s="15"/>
    </row>
    <row r="59" spans="2:9" s="17" customFormat="1" ht="20" customHeight="1" x14ac:dyDescent="0.2">
      <c r="B59" s="13" t="s">
        <v>135</v>
      </c>
      <c r="C59" s="14"/>
      <c r="D59" s="14"/>
      <c r="E59" s="14"/>
      <c r="F59" s="15"/>
      <c r="G59" s="15"/>
      <c r="H59" s="15"/>
      <c r="I59" s="15"/>
    </row>
    <row r="60" spans="2:9" s="17" customFormat="1" ht="20" customHeight="1" x14ac:dyDescent="0.2">
      <c r="B60" s="13" t="s">
        <v>136</v>
      </c>
      <c r="C60" s="14"/>
      <c r="D60" s="14"/>
      <c r="E60" s="14"/>
      <c r="F60" s="15"/>
      <c r="G60" s="15"/>
      <c r="H60" s="15"/>
      <c r="I60" s="15"/>
    </row>
    <row r="61" spans="2:9" s="17" customFormat="1" ht="20" customHeight="1" x14ac:dyDescent="0.2">
      <c r="B61" s="13" t="s">
        <v>137</v>
      </c>
      <c r="C61" s="14"/>
      <c r="D61" s="14"/>
      <c r="E61" s="14"/>
      <c r="F61" s="15"/>
      <c r="G61" s="15"/>
      <c r="H61" s="15"/>
      <c r="I61" s="15"/>
    </row>
    <row r="62" spans="2:9" s="17" customFormat="1" ht="20" customHeight="1" x14ac:dyDescent="0.2">
      <c r="B62" s="13" t="s">
        <v>138</v>
      </c>
      <c r="C62" s="14"/>
      <c r="D62" s="14"/>
      <c r="E62" s="14"/>
      <c r="F62" s="15"/>
      <c r="G62" s="15"/>
      <c r="H62" s="15"/>
      <c r="I62" s="15"/>
    </row>
    <row r="63" spans="2:9" s="17" customFormat="1" ht="20" customHeight="1" x14ac:dyDescent="0.2">
      <c r="B63" s="13" t="s">
        <v>139</v>
      </c>
      <c r="C63" s="14"/>
      <c r="D63" s="14"/>
      <c r="E63" s="14"/>
      <c r="F63" s="15"/>
      <c r="G63" s="15"/>
      <c r="H63" s="15"/>
      <c r="I63" s="15"/>
    </row>
    <row r="64" spans="2:9" s="17" customFormat="1" ht="20" customHeight="1" x14ac:dyDescent="0.2">
      <c r="B64" s="13" t="s">
        <v>140</v>
      </c>
      <c r="C64" s="14"/>
      <c r="D64" s="14"/>
      <c r="E64" s="14"/>
      <c r="F64" s="15"/>
      <c r="G64" s="15"/>
      <c r="H64" s="15"/>
      <c r="I64" s="15"/>
    </row>
    <row r="65" spans="2:9" s="17" customFormat="1" ht="20" customHeight="1" x14ac:dyDescent="0.2">
      <c r="B65" s="13" t="s">
        <v>141</v>
      </c>
      <c r="C65" s="14"/>
      <c r="D65" s="14"/>
      <c r="E65" s="14"/>
      <c r="F65" s="15"/>
      <c r="G65" s="15"/>
      <c r="H65" s="15"/>
      <c r="I65" s="15"/>
    </row>
    <row r="66" spans="2:9" s="17" customFormat="1" ht="20" customHeight="1" x14ac:dyDescent="0.2">
      <c r="B66" s="13" t="s">
        <v>142</v>
      </c>
      <c r="C66" s="14"/>
      <c r="D66" s="14"/>
      <c r="E66" s="14"/>
      <c r="F66" s="15"/>
      <c r="G66" s="15"/>
      <c r="H66" s="15"/>
      <c r="I66" s="15"/>
    </row>
    <row r="67" spans="2:9" s="17" customFormat="1" ht="20" customHeight="1" x14ac:dyDescent="0.2">
      <c r="B67" s="13" t="s">
        <v>143</v>
      </c>
      <c r="C67" s="14"/>
      <c r="D67" s="14"/>
      <c r="E67" s="14"/>
      <c r="F67" s="15"/>
      <c r="G67" s="15"/>
      <c r="H67" s="15"/>
      <c r="I67" s="15"/>
    </row>
    <row r="68" spans="2:9" s="17" customFormat="1" ht="20" customHeight="1" x14ac:dyDescent="0.2">
      <c r="B68" s="13" t="s">
        <v>144</v>
      </c>
      <c r="C68" s="14"/>
      <c r="D68" s="14"/>
      <c r="E68" s="14"/>
      <c r="F68" s="15"/>
      <c r="G68" s="15"/>
      <c r="H68" s="15"/>
      <c r="I68" s="15"/>
    </row>
    <row r="69" spans="2:9" s="17" customFormat="1" ht="20" customHeight="1" x14ac:dyDescent="0.2">
      <c r="B69" s="13" t="s">
        <v>145</v>
      </c>
      <c r="C69" s="14"/>
      <c r="D69" s="14"/>
      <c r="E69" s="14"/>
      <c r="F69" s="15"/>
      <c r="G69" s="15"/>
      <c r="H69" s="15"/>
      <c r="I69" s="15"/>
    </row>
    <row r="70" spans="2:9" s="17" customFormat="1" ht="20" customHeight="1" x14ac:dyDescent="0.2">
      <c r="B70" s="13" t="s">
        <v>146</v>
      </c>
      <c r="C70" s="14"/>
      <c r="D70" s="14"/>
      <c r="E70" s="14"/>
      <c r="F70" s="15"/>
      <c r="G70" s="15"/>
      <c r="H70" s="15"/>
      <c r="I70" s="15"/>
    </row>
    <row r="71" spans="2:9" s="17" customFormat="1" ht="20" customHeight="1" x14ac:dyDescent="0.2">
      <c r="B71" s="13" t="s">
        <v>147</v>
      </c>
      <c r="C71" s="14"/>
      <c r="D71" s="14"/>
      <c r="E71" s="14"/>
      <c r="F71" s="15"/>
      <c r="G71" s="15"/>
      <c r="H71" s="15"/>
      <c r="I71" s="15"/>
    </row>
    <row r="72" spans="2:9" s="17" customFormat="1" ht="20" customHeight="1" x14ac:dyDescent="0.2">
      <c r="B72" s="13" t="s">
        <v>148</v>
      </c>
      <c r="C72" s="14"/>
      <c r="D72" s="14"/>
      <c r="E72" s="14"/>
      <c r="F72" s="15"/>
      <c r="G72" s="15"/>
      <c r="H72" s="15"/>
      <c r="I72" s="15"/>
    </row>
    <row r="73" spans="2:9" s="17" customFormat="1" ht="20" customHeight="1" x14ac:dyDescent="0.2">
      <c r="B73" s="13" t="s">
        <v>149</v>
      </c>
      <c r="C73" s="14"/>
      <c r="D73" s="14"/>
      <c r="E73" s="14"/>
      <c r="F73" s="15"/>
      <c r="G73" s="15"/>
      <c r="H73" s="15"/>
      <c r="I73" s="15"/>
    </row>
    <row r="74" spans="2:9" s="17" customFormat="1" ht="20" customHeight="1" x14ac:dyDescent="0.2">
      <c r="B74" s="13" t="s">
        <v>150</v>
      </c>
      <c r="C74" s="14"/>
      <c r="D74" s="14"/>
      <c r="E74" s="14"/>
      <c r="F74" s="15"/>
      <c r="G74" s="15"/>
      <c r="H74" s="15"/>
      <c r="I74" s="15"/>
    </row>
    <row r="75" spans="2:9" s="17" customFormat="1" ht="20" customHeight="1" x14ac:dyDescent="0.2">
      <c r="B75" s="13" t="s">
        <v>151</v>
      </c>
      <c r="C75" s="14"/>
      <c r="D75" s="14"/>
      <c r="E75" s="14"/>
      <c r="F75" s="15"/>
      <c r="G75" s="15"/>
      <c r="H75" s="15"/>
      <c r="I75" s="15"/>
    </row>
    <row r="76" spans="2:9" s="17" customFormat="1" ht="20" customHeight="1" x14ac:dyDescent="0.2">
      <c r="B76" s="13" t="s">
        <v>152</v>
      </c>
      <c r="C76" s="14"/>
      <c r="D76" s="14"/>
      <c r="E76" s="14"/>
      <c r="F76" s="15"/>
      <c r="G76" s="15"/>
      <c r="H76" s="15"/>
      <c r="I76" s="15"/>
    </row>
    <row r="77" spans="2:9" s="17" customFormat="1" ht="20" customHeight="1" x14ac:dyDescent="0.2">
      <c r="B77" s="13" t="s">
        <v>153</v>
      </c>
      <c r="C77" s="14"/>
      <c r="D77" s="14"/>
      <c r="E77" s="14"/>
      <c r="F77" s="15"/>
      <c r="G77" s="15"/>
      <c r="H77" s="15"/>
      <c r="I77" s="15"/>
    </row>
    <row r="78" spans="2:9" s="17" customFormat="1" ht="20" customHeight="1" x14ac:dyDescent="0.2">
      <c r="B78" s="13" t="s">
        <v>154</v>
      </c>
      <c r="C78" s="14"/>
      <c r="D78" s="14"/>
      <c r="E78" s="14"/>
      <c r="F78" s="15"/>
      <c r="G78" s="15"/>
      <c r="H78" s="15"/>
      <c r="I78" s="15"/>
    </row>
    <row r="79" spans="2:9" s="17" customFormat="1" ht="20" customHeight="1" x14ac:dyDescent="0.2">
      <c r="B79" s="13" t="s">
        <v>155</v>
      </c>
      <c r="C79" s="14"/>
      <c r="D79" s="14"/>
      <c r="E79" s="14"/>
      <c r="F79" s="15"/>
      <c r="G79" s="15"/>
      <c r="H79" s="15"/>
      <c r="I79" s="15"/>
    </row>
  </sheetData>
  <sheetProtection algorithmName="SHA-512" hashValue="lMl8pptB20U4+1W12bMEbKo7+5cG46NgA5p42vWfePsljxWS9JMM91uYBSQtdOn8B+IPczZg5r2E97x9GDe6bw==" saltValue="//eYhgfjsAOMAltlQ0B+Fw==" spinCount="100000" sheet="1" objects="1" scenarios="1" selectLockedCells="1"/>
  <mergeCells count="11">
    <mergeCell ref="H6:I6"/>
    <mergeCell ref="B2:I2"/>
    <mergeCell ref="B4:I4"/>
    <mergeCell ref="B10:B11"/>
    <mergeCell ref="C10:C11"/>
    <mergeCell ref="D10:D11"/>
    <mergeCell ref="E10:E11"/>
    <mergeCell ref="F10:F11"/>
    <mergeCell ref="G10:G11"/>
    <mergeCell ref="H10:H11"/>
    <mergeCell ref="I10:I11"/>
  </mergeCells>
  <conditionalFormatting sqref="C13:I79">
    <cfRule type="cellIs" dxfId="40" priority="1" operator="equal">
      <formula>"Rest"</formula>
    </cfRule>
    <cfRule type="cellIs" dxfId="39" priority="2" operator="equal">
      <formula>"Sleep"</formula>
    </cfRule>
    <cfRule type="cellIs" dxfId="38" priority="3" operator="equal">
      <formula>"Ritual"</formula>
    </cfRule>
    <cfRule type="cellIs" dxfId="37" priority="4" operator="equal">
      <formula>"DN"</formula>
    </cfRule>
    <cfRule type="cellIs" dxfId="36" priority="5" operator="equal">
      <formula>"FT"</formula>
    </cfRule>
    <cfRule type="cellIs" dxfId="35" priority="6" operator="equal">
      <formula>"EX"</formula>
    </cfRule>
    <cfRule type="cellIs" dxfId="34" priority="7" operator="equal">
      <formula>"Training"</formula>
    </cfRule>
    <cfRule type="cellIs" dxfId="33" priority="8" operator="equal">
      <formula>"Meeting Ext"</formula>
    </cfRule>
    <cfRule type="cellIs" dxfId="32" priority="9" operator="equal">
      <formula>"Meeting Int"</formula>
    </cfRule>
    <cfRule type="cellIs" dxfId="31" priority="10" operator="equal">
      <formula>"HR"</formula>
    </cfRule>
    <cfRule type="cellIs" dxfId="30" priority="11" operator="equal">
      <formula>"MKT"</formula>
    </cfRule>
    <cfRule type="cellIs" dxfId="29" priority="12" operator="equal">
      <formula>"Sales"</formula>
    </cfRule>
    <cfRule type="cellIs" dxfId="28" priority="13" operator="equal">
      <formula>"Delivery"</formula>
    </cfRule>
    <cfRule type="cellIs" dxfId="27" priority="14" operator="equal">
      <formula>"Admin"</formula>
    </cfRule>
  </conditionalFormatting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7575"/>
  </sheetPr>
  <dimension ref="B1:BY79"/>
  <sheetViews>
    <sheetView showGridLines="0" tabSelected="1" zoomScaleNormal="100" workbookViewId="0">
      <pane ySplit="11" topLeftCell="A12" activePane="bottomLeft" state="frozen"/>
      <selection activeCell="B2" sqref="B2:P2"/>
      <selection pane="bottomLeft" activeCell="C13" sqref="C13"/>
    </sheetView>
  </sheetViews>
  <sheetFormatPr baseColWidth="10" defaultColWidth="8.83203125" defaultRowHeight="15" x14ac:dyDescent="0.2"/>
  <cols>
    <col min="1" max="1" width="0.83203125" style="10" customWidth="1"/>
    <col min="2" max="2" width="15.5" style="10" customWidth="1"/>
    <col min="3" max="9" width="19.5" style="9" customWidth="1"/>
    <col min="10" max="10" width="4" style="10" customWidth="1"/>
    <col min="11" max="11" width="33.5" style="10" customWidth="1"/>
    <col min="12" max="12" width="19.1640625" style="9" customWidth="1"/>
    <col min="13" max="14" width="10.5" style="9" customWidth="1"/>
    <col min="15" max="15" width="13.5" style="18" customWidth="1"/>
    <col min="16" max="16" width="13.5" style="10" customWidth="1"/>
    <col min="17" max="16384" width="8.83203125" style="10"/>
  </cols>
  <sheetData>
    <row r="1" spans="2:77" s="6" customFormat="1" ht="4.5" customHeight="1" x14ac:dyDescent="0.25"/>
    <row r="2" spans="2:77" s="7" customFormat="1" ht="30.75" customHeight="1" x14ac:dyDescent="0.2">
      <c r="B2" s="108" t="s">
        <v>156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</row>
    <row r="3" spans="2:77" s="6" customFormat="1" ht="5.25" customHeight="1" x14ac:dyDescent="0.25"/>
    <row r="4" spans="2:77" s="7" customFormat="1" ht="27" customHeight="1" x14ac:dyDescent="0.2">
      <c r="B4" s="109" t="s">
        <v>187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</row>
    <row r="5" spans="2:77" s="6" customFormat="1" ht="7.5" customHeight="1" x14ac:dyDescent="0.25"/>
    <row r="6" spans="2:77" ht="21.75" customHeight="1" x14ac:dyDescent="0.25">
      <c r="B6" s="8" t="s">
        <v>48</v>
      </c>
    </row>
    <row r="7" spans="2:77" ht="21.75" customHeight="1" x14ac:dyDescent="0.25">
      <c r="B7" s="8" t="s">
        <v>182</v>
      </c>
    </row>
    <row r="8" spans="2:77" ht="21.75" customHeight="1" x14ac:dyDescent="0.25">
      <c r="B8" s="8" t="s">
        <v>183</v>
      </c>
    </row>
    <row r="9" spans="2:77" ht="12" customHeight="1" x14ac:dyDescent="0.2"/>
    <row r="10" spans="2:77" s="11" customFormat="1" ht="21" x14ac:dyDescent="0.25">
      <c r="B10" s="110" t="s">
        <v>49</v>
      </c>
      <c r="C10" s="110" t="s">
        <v>50</v>
      </c>
      <c r="D10" s="110" t="s">
        <v>51</v>
      </c>
      <c r="E10" s="110" t="s">
        <v>52</v>
      </c>
      <c r="F10" s="110" t="s">
        <v>53</v>
      </c>
      <c r="G10" s="110" t="s">
        <v>54</v>
      </c>
      <c r="H10" s="110" t="s">
        <v>55</v>
      </c>
      <c r="I10" s="110" t="s">
        <v>56</v>
      </c>
      <c r="K10" s="97" t="s">
        <v>57</v>
      </c>
      <c r="L10" s="110" t="s">
        <v>61</v>
      </c>
      <c r="M10" s="106" t="s">
        <v>58</v>
      </c>
      <c r="N10" s="107"/>
      <c r="O10" s="112" t="s">
        <v>185</v>
      </c>
      <c r="P10" s="112" t="s">
        <v>157</v>
      </c>
    </row>
    <row r="11" spans="2:77" s="11" customFormat="1" ht="21" x14ac:dyDescent="0.25">
      <c r="B11" s="111"/>
      <c r="C11" s="111"/>
      <c r="D11" s="111"/>
      <c r="E11" s="111"/>
      <c r="F11" s="111"/>
      <c r="G11" s="111"/>
      <c r="H11" s="111"/>
      <c r="I11" s="111"/>
      <c r="K11" s="97" t="s">
        <v>60</v>
      </c>
      <c r="L11" s="111"/>
      <c r="M11" s="98" t="s">
        <v>62</v>
      </c>
      <c r="N11" s="98" t="s">
        <v>63</v>
      </c>
      <c r="O11" s="112"/>
      <c r="P11" s="112"/>
    </row>
    <row r="12" spans="2:77" s="11" customFormat="1" ht="6.75" customHeight="1" x14ac:dyDescent="0.25">
      <c r="B12" s="12"/>
      <c r="C12" s="12"/>
      <c r="D12" s="12"/>
      <c r="E12" s="12"/>
      <c r="F12" s="12"/>
      <c r="G12" s="12"/>
      <c r="H12" s="12"/>
      <c r="I12" s="12"/>
      <c r="K12" s="19"/>
      <c r="L12" s="20"/>
      <c r="M12" s="20"/>
      <c r="N12" s="20"/>
      <c r="O12" s="21"/>
      <c r="P12" s="21"/>
    </row>
    <row r="13" spans="2:77" s="16" customFormat="1" ht="20" customHeight="1" x14ac:dyDescent="0.2">
      <c r="B13" s="13" t="s">
        <v>59</v>
      </c>
      <c r="C13" s="22"/>
      <c r="D13" s="22"/>
      <c r="E13" s="22"/>
      <c r="F13" s="23"/>
      <c r="G13" s="23"/>
      <c r="H13" s="23"/>
      <c r="I13" s="23"/>
      <c r="K13" s="24" t="s">
        <v>65</v>
      </c>
      <c r="L13" s="25" t="s">
        <v>66</v>
      </c>
      <c r="M13" s="26">
        <f t="shared" ref="M13:M25" si="0">(COUNTIF($C$13:$I$63,$L13)*0.25)*60</f>
        <v>0</v>
      </c>
      <c r="N13" s="26">
        <f>M13/60</f>
        <v>0</v>
      </c>
      <c r="O13" s="27" t="str">
        <f t="shared" ref="O13:O21" si="1">IFERROR(M13/$M$26,"0%")</f>
        <v>0%</v>
      </c>
      <c r="P13" s="27" t="str">
        <f t="shared" ref="P13:P21" si="2">IFERROR(M13/$M$42,"0%")</f>
        <v>0%</v>
      </c>
      <c r="BY13" s="16" t="str">
        <f>IF(L13="","",L13)</f>
        <v>Admin</v>
      </c>
    </row>
    <row r="14" spans="2:77" s="16" customFormat="1" ht="20" customHeight="1" x14ac:dyDescent="0.2">
      <c r="B14" s="13" t="s">
        <v>64</v>
      </c>
      <c r="C14" s="22"/>
      <c r="D14" s="22"/>
      <c r="E14" s="22"/>
      <c r="F14" s="23"/>
      <c r="G14" s="23"/>
      <c r="H14" s="23"/>
      <c r="I14" s="23"/>
      <c r="K14" s="24" t="s">
        <v>68</v>
      </c>
      <c r="L14" s="28" t="s">
        <v>69</v>
      </c>
      <c r="M14" s="26">
        <f t="shared" si="0"/>
        <v>0</v>
      </c>
      <c r="N14" s="26">
        <f>M14/60</f>
        <v>0</v>
      </c>
      <c r="O14" s="27" t="str">
        <f t="shared" si="1"/>
        <v>0%</v>
      </c>
      <c r="P14" s="27" t="str">
        <f t="shared" si="2"/>
        <v>0%</v>
      </c>
      <c r="BY14" s="16" t="str">
        <f t="shared" ref="BY14:BY25" si="3">IF(L14="","",L14)</f>
        <v>Delivery</v>
      </c>
    </row>
    <row r="15" spans="2:77" s="16" customFormat="1" ht="20" customHeight="1" x14ac:dyDescent="0.2">
      <c r="B15" s="13" t="s">
        <v>67</v>
      </c>
      <c r="C15" s="22"/>
      <c r="D15" s="22"/>
      <c r="E15" s="22"/>
      <c r="F15" s="23"/>
      <c r="G15" s="23"/>
      <c r="H15" s="23"/>
      <c r="I15" s="23"/>
      <c r="K15" s="24" t="s">
        <v>71</v>
      </c>
      <c r="L15" s="29" t="s">
        <v>71</v>
      </c>
      <c r="M15" s="26">
        <f t="shared" si="0"/>
        <v>0</v>
      </c>
      <c r="N15" s="26">
        <f t="shared" ref="N15:N42" si="4">M15/60</f>
        <v>0</v>
      </c>
      <c r="O15" s="27" t="str">
        <f t="shared" si="1"/>
        <v>0%</v>
      </c>
      <c r="P15" s="27" t="str">
        <f t="shared" si="2"/>
        <v>0%</v>
      </c>
      <c r="BY15" s="16" t="str">
        <f t="shared" si="3"/>
        <v>Sales</v>
      </c>
    </row>
    <row r="16" spans="2:77" s="16" customFormat="1" ht="20" customHeight="1" x14ac:dyDescent="0.2">
      <c r="B16" s="13" t="s">
        <v>70</v>
      </c>
      <c r="C16" s="22"/>
      <c r="D16" s="22"/>
      <c r="E16" s="22"/>
      <c r="F16" s="23"/>
      <c r="G16" s="23"/>
      <c r="H16" s="23"/>
      <c r="I16" s="23"/>
      <c r="K16" s="24" t="s">
        <v>73</v>
      </c>
      <c r="L16" s="30" t="s">
        <v>74</v>
      </c>
      <c r="M16" s="26">
        <f t="shared" si="0"/>
        <v>0</v>
      </c>
      <c r="N16" s="26">
        <f t="shared" si="4"/>
        <v>0</v>
      </c>
      <c r="O16" s="27" t="str">
        <f t="shared" si="1"/>
        <v>0%</v>
      </c>
      <c r="P16" s="27" t="str">
        <f t="shared" si="2"/>
        <v>0%</v>
      </c>
      <c r="BY16" s="16" t="str">
        <f t="shared" si="3"/>
        <v>MKT</v>
      </c>
    </row>
    <row r="17" spans="2:77" s="16" customFormat="1" ht="20" customHeight="1" x14ac:dyDescent="0.2">
      <c r="B17" s="13" t="s">
        <v>72</v>
      </c>
      <c r="C17" s="22"/>
      <c r="D17" s="22"/>
      <c r="E17" s="22"/>
      <c r="F17" s="22"/>
      <c r="G17" s="22"/>
      <c r="H17" s="23"/>
      <c r="I17" s="23"/>
      <c r="K17" s="24" t="s">
        <v>76</v>
      </c>
      <c r="L17" s="31" t="s">
        <v>77</v>
      </c>
      <c r="M17" s="26">
        <f t="shared" si="0"/>
        <v>0</v>
      </c>
      <c r="N17" s="26">
        <f t="shared" si="4"/>
        <v>0</v>
      </c>
      <c r="O17" s="27" t="str">
        <f t="shared" si="1"/>
        <v>0%</v>
      </c>
      <c r="P17" s="27" t="str">
        <f t="shared" si="2"/>
        <v>0%</v>
      </c>
      <c r="BY17" s="16" t="str">
        <f t="shared" si="3"/>
        <v>HR</v>
      </c>
    </row>
    <row r="18" spans="2:77" s="16" customFormat="1" ht="20" customHeight="1" x14ac:dyDescent="0.2">
      <c r="B18" s="13" t="s">
        <v>75</v>
      </c>
      <c r="C18" s="22"/>
      <c r="D18" s="22"/>
      <c r="E18" s="22"/>
      <c r="F18" s="22"/>
      <c r="G18" s="22"/>
      <c r="H18" s="23"/>
      <c r="I18" s="23"/>
      <c r="K18" s="24" t="s">
        <v>79</v>
      </c>
      <c r="L18" s="32" t="s">
        <v>158</v>
      </c>
      <c r="M18" s="26">
        <f t="shared" si="0"/>
        <v>0</v>
      </c>
      <c r="N18" s="26">
        <f t="shared" si="4"/>
        <v>0</v>
      </c>
      <c r="O18" s="27" t="str">
        <f t="shared" si="1"/>
        <v>0%</v>
      </c>
      <c r="P18" s="27" t="str">
        <f t="shared" si="2"/>
        <v>0%</v>
      </c>
      <c r="BY18" s="16" t="str">
        <f t="shared" si="3"/>
        <v>Meeting Int</v>
      </c>
    </row>
    <row r="19" spans="2:77" s="16" customFormat="1" ht="20" customHeight="1" x14ac:dyDescent="0.2">
      <c r="B19" s="13" t="s">
        <v>78</v>
      </c>
      <c r="C19" s="22"/>
      <c r="D19" s="22"/>
      <c r="E19" s="22"/>
      <c r="F19" s="22"/>
      <c r="G19" s="22"/>
      <c r="H19" s="23"/>
      <c r="I19" s="23"/>
      <c r="K19" s="24" t="s">
        <v>81</v>
      </c>
      <c r="L19" s="33" t="s">
        <v>82</v>
      </c>
      <c r="M19" s="26">
        <f t="shared" si="0"/>
        <v>0</v>
      </c>
      <c r="N19" s="26">
        <f t="shared" si="4"/>
        <v>0</v>
      </c>
      <c r="O19" s="27" t="str">
        <f t="shared" si="1"/>
        <v>0%</v>
      </c>
      <c r="P19" s="27" t="str">
        <f t="shared" si="2"/>
        <v>0%</v>
      </c>
      <c r="BY19" s="16" t="str">
        <f t="shared" si="3"/>
        <v>Meeting Ext</v>
      </c>
    </row>
    <row r="20" spans="2:77" s="16" customFormat="1" ht="20" customHeight="1" x14ac:dyDescent="0.2">
      <c r="B20" s="13" t="s">
        <v>80</v>
      </c>
      <c r="C20" s="22"/>
      <c r="D20" s="22"/>
      <c r="E20" s="22"/>
      <c r="F20" s="22"/>
      <c r="G20" s="22"/>
      <c r="H20" s="23"/>
      <c r="I20" s="23"/>
      <c r="K20" s="24" t="s">
        <v>84</v>
      </c>
      <c r="L20" s="34" t="s">
        <v>84</v>
      </c>
      <c r="M20" s="26">
        <f t="shared" si="0"/>
        <v>0</v>
      </c>
      <c r="N20" s="26">
        <f t="shared" si="4"/>
        <v>0</v>
      </c>
      <c r="O20" s="27" t="str">
        <f t="shared" si="1"/>
        <v>0%</v>
      </c>
      <c r="P20" s="27" t="str">
        <f t="shared" si="2"/>
        <v>0%</v>
      </c>
      <c r="BY20" s="16" t="str">
        <f t="shared" si="3"/>
        <v>Training</v>
      </c>
    </row>
    <row r="21" spans="2:77" s="16" customFormat="1" ht="20" customHeight="1" x14ac:dyDescent="0.2">
      <c r="B21" s="13" t="s">
        <v>83</v>
      </c>
      <c r="C21" s="22"/>
      <c r="D21" s="22"/>
      <c r="E21" s="22"/>
      <c r="F21" s="22"/>
      <c r="G21" s="22"/>
      <c r="H21" s="22"/>
      <c r="I21" s="22"/>
      <c r="K21" s="35" t="s">
        <v>14</v>
      </c>
      <c r="L21" s="36" t="s">
        <v>14</v>
      </c>
      <c r="M21" s="26">
        <f t="shared" si="0"/>
        <v>0</v>
      </c>
      <c r="N21" s="26">
        <f t="shared" si="4"/>
        <v>0</v>
      </c>
      <c r="O21" s="27" t="str">
        <f t="shared" si="1"/>
        <v>0%</v>
      </c>
      <c r="P21" s="27" t="str">
        <f t="shared" si="2"/>
        <v>0%</v>
      </c>
      <c r="BY21" s="16" t="str">
        <f t="shared" si="3"/>
        <v>Emails</v>
      </c>
    </row>
    <row r="22" spans="2:77" s="16" customFormat="1" ht="20" customHeight="1" x14ac:dyDescent="0.2">
      <c r="B22" s="13" t="s">
        <v>85</v>
      </c>
      <c r="C22" s="22"/>
      <c r="D22" s="22"/>
      <c r="E22" s="22"/>
      <c r="F22" s="22"/>
      <c r="G22" s="22"/>
      <c r="H22" s="22"/>
      <c r="I22" s="22"/>
      <c r="K22" s="35" t="s">
        <v>175</v>
      </c>
      <c r="L22" s="37" t="s">
        <v>176</v>
      </c>
      <c r="M22" s="26">
        <f t="shared" si="0"/>
        <v>0</v>
      </c>
      <c r="N22" s="26">
        <f t="shared" ref="N22:N25" si="5">M22/60</f>
        <v>0</v>
      </c>
      <c r="O22" s="27" t="str">
        <f t="shared" ref="O22:O25" si="6">IFERROR(M22/$M$26,"0%")</f>
        <v>0%</v>
      </c>
      <c r="P22" s="27" t="str">
        <f t="shared" ref="P22:P25" si="7">IFERROR(M22/$M$42,"0%")</f>
        <v>0%</v>
      </c>
      <c r="BY22" s="16" t="str">
        <f t="shared" si="3"/>
        <v>Ops</v>
      </c>
    </row>
    <row r="23" spans="2:77" s="16" customFormat="1" ht="20" customHeight="1" x14ac:dyDescent="0.2">
      <c r="B23" s="13" t="s">
        <v>86</v>
      </c>
      <c r="C23" s="22"/>
      <c r="D23" s="22"/>
      <c r="E23" s="22"/>
      <c r="F23" s="22"/>
      <c r="G23" s="22"/>
      <c r="H23" s="22"/>
      <c r="I23" s="22"/>
      <c r="K23" s="35" t="s">
        <v>177</v>
      </c>
      <c r="L23" s="38" t="s">
        <v>178</v>
      </c>
      <c r="M23" s="26">
        <f t="shared" si="0"/>
        <v>0</v>
      </c>
      <c r="N23" s="26">
        <f t="shared" si="5"/>
        <v>0</v>
      </c>
      <c r="O23" s="27" t="str">
        <f t="shared" si="6"/>
        <v>0%</v>
      </c>
      <c r="P23" s="27" t="str">
        <f t="shared" si="7"/>
        <v>0%</v>
      </c>
      <c r="BY23" s="16" t="str">
        <f t="shared" si="3"/>
        <v>Coach</v>
      </c>
    </row>
    <row r="24" spans="2:77" s="16" customFormat="1" ht="20" customHeight="1" x14ac:dyDescent="0.2">
      <c r="B24" s="13" t="s">
        <v>87</v>
      </c>
      <c r="C24" s="22"/>
      <c r="D24" s="22"/>
      <c r="E24" s="22"/>
      <c r="F24" s="22"/>
      <c r="G24" s="22"/>
      <c r="H24" s="22"/>
      <c r="I24" s="22"/>
      <c r="K24" s="35" t="s">
        <v>169</v>
      </c>
      <c r="L24" s="39" t="s">
        <v>163</v>
      </c>
      <c r="M24" s="26">
        <f t="shared" si="0"/>
        <v>0</v>
      </c>
      <c r="N24" s="26">
        <f t="shared" si="5"/>
        <v>0</v>
      </c>
      <c r="O24" s="27" t="str">
        <f t="shared" si="6"/>
        <v>0%</v>
      </c>
      <c r="P24" s="27" t="str">
        <f t="shared" si="7"/>
        <v>0%</v>
      </c>
      <c r="BY24" s="16" t="str">
        <f t="shared" si="3"/>
        <v>Blank3B</v>
      </c>
    </row>
    <row r="25" spans="2:77" s="16" customFormat="1" ht="20" customHeight="1" x14ac:dyDescent="0.2">
      <c r="B25" s="13" t="s">
        <v>88</v>
      </c>
      <c r="C25" s="22"/>
      <c r="D25" s="22"/>
      <c r="E25" s="22"/>
      <c r="F25" s="22"/>
      <c r="G25" s="22"/>
      <c r="H25" s="22"/>
      <c r="I25" s="22"/>
      <c r="J25" s="17"/>
      <c r="K25" s="35" t="s">
        <v>170</v>
      </c>
      <c r="L25" s="40" t="s">
        <v>164</v>
      </c>
      <c r="M25" s="26">
        <f t="shared" si="0"/>
        <v>0</v>
      </c>
      <c r="N25" s="26">
        <f t="shared" si="5"/>
        <v>0</v>
      </c>
      <c r="O25" s="27" t="str">
        <f t="shared" si="6"/>
        <v>0%</v>
      </c>
      <c r="P25" s="27" t="str">
        <f t="shared" si="7"/>
        <v>0%</v>
      </c>
      <c r="BY25" s="16" t="str">
        <f t="shared" si="3"/>
        <v>Blank4B</v>
      </c>
    </row>
    <row r="26" spans="2:77" s="16" customFormat="1" ht="20" customHeight="1" x14ac:dyDescent="0.2">
      <c r="B26" s="13" t="s">
        <v>89</v>
      </c>
      <c r="C26" s="22"/>
      <c r="D26" s="22"/>
      <c r="E26" s="22"/>
      <c r="F26" s="22"/>
      <c r="G26" s="22"/>
      <c r="H26" s="22"/>
      <c r="I26" s="22"/>
      <c r="J26" s="17"/>
      <c r="K26" s="114" t="s">
        <v>91</v>
      </c>
      <c r="L26" s="115"/>
      <c r="M26" s="41">
        <f>SUM(M13:M25)</f>
        <v>0</v>
      </c>
      <c r="N26" s="41">
        <f t="shared" si="4"/>
        <v>0</v>
      </c>
      <c r="O26" s="116" t="str">
        <f>IFERROR(M26/$M$42,"0%")</f>
        <v>0%</v>
      </c>
      <c r="P26" s="117"/>
      <c r="BY26" s="16" t="str">
        <f>L30</f>
        <v>EX</v>
      </c>
    </row>
    <row r="27" spans="2:77" s="16" customFormat="1" ht="20" customHeight="1" x14ac:dyDescent="0.2">
      <c r="B27" s="13" t="s">
        <v>90</v>
      </c>
      <c r="C27" s="22"/>
      <c r="D27" s="22"/>
      <c r="E27" s="22"/>
      <c r="F27" s="22"/>
      <c r="G27" s="22"/>
      <c r="H27" s="22"/>
      <c r="I27" s="22"/>
      <c r="J27" s="17"/>
      <c r="K27" s="17"/>
      <c r="L27" s="42"/>
      <c r="M27" s="42"/>
      <c r="N27" s="42"/>
      <c r="O27" s="43"/>
      <c r="P27" s="43"/>
      <c r="BY27" s="16" t="str">
        <f t="shared" ref="BY27:BY35" si="8">L31</f>
        <v>FT</v>
      </c>
    </row>
    <row r="28" spans="2:77" s="16" customFormat="1" ht="20" customHeight="1" x14ac:dyDescent="0.2">
      <c r="B28" s="13" t="s">
        <v>184</v>
      </c>
      <c r="C28" s="22"/>
      <c r="D28" s="22"/>
      <c r="E28" s="22"/>
      <c r="F28" s="22"/>
      <c r="G28" s="22"/>
      <c r="H28" s="22"/>
      <c r="I28" s="22"/>
      <c r="J28" s="17"/>
      <c r="K28" s="99" t="s">
        <v>57</v>
      </c>
      <c r="L28" s="110" t="s">
        <v>61</v>
      </c>
      <c r="M28" s="118" t="s">
        <v>58</v>
      </c>
      <c r="N28" s="119" t="s">
        <v>58</v>
      </c>
      <c r="O28" s="112" t="s">
        <v>94</v>
      </c>
      <c r="P28" s="112" t="s">
        <v>159</v>
      </c>
      <c r="BY28" s="16" t="str">
        <f t="shared" si="8"/>
        <v>DN</v>
      </c>
    </row>
    <row r="29" spans="2:77" s="16" customFormat="1" ht="20" customHeight="1" x14ac:dyDescent="0.2">
      <c r="B29" s="13" t="s">
        <v>92</v>
      </c>
      <c r="C29" s="22"/>
      <c r="D29" s="22"/>
      <c r="E29" s="22"/>
      <c r="F29" s="22"/>
      <c r="G29" s="22"/>
      <c r="H29" s="22"/>
      <c r="I29" s="22"/>
      <c r="J29" s="17"/>
      <c r="K29" s="99" t="s">
        <v>96</v>
      </c>
      <c r="L29" s="111" t="s">
        <v>61</v>
      </c>
      <c r="M29" s="96" t="s">
        <v>62</v>
      </c>
      <c r="N29" s="96" t="s">
        <v>63</v>
      </c>
      <c r="O29" s="112"/>
      <c r="P29" s="112"/>
      <c r="BY29" s="16" t="str">
        <f t="shared" si="8"/>
        <v>Ritual</v>
      </c>
    </row>
    <row r="30" spans="2:77" s="17" customFormat="1" ht="20" customHeight="1" x14ac:dyDescent="0.2">
      <c r="B30" s="13" t="s">
        <v>93</v>
      </c>
      <c r="C30" s="22"/>
      <c r="D30" s="22"/>
      <c r="E30" s="22"/>
      <c r="F30" s="22"/>
      <c r="G30" s="22"/>
      <c r="H30" s="22"/>
      <c r="I30" s="22"/>
      <c r="K30" s="24" t="s">
        <v>98</v>
      </c>
      <c r="L30" s="25" t="s">
        <v>99</v>
      </c>
      <c r="M30" s="26">
        <f t="shared" ref="M30:M39" si="9">(COUNTIF($C$13:$I$79,$L30)*0.25)*60</f>
        <v>0</v>
      </c>
      <c r="N30" s="26">
        <f t="shared" si="4"/>
        <v>0</v>
      </c>
      <c r="O30" s="27" t="str">
        <f>IFERROR(M30/$M$40,"0%")</f>
        <v>0%</v>
      </c>
      <c r="P30" s="27" t="str">
        <f>IFERROR(M30/$M$42,"0%")</f>
        <v>0%</v>
      </c>
      <c r="BY30" s="16" t="str">
        <f t="shared" si="8"/>
        <v>Sleep</v>
      </c>
    </row>
    <row r="31" spans="2:77" s="17" customFormat="1" ht="20" customHeight="1" x14ac:dyDescent="0.2">
      <c r="B31" s="13" t="s">
        <v>95</v>
      </c>
      <c r="C31" s="22"/>
      <c r="D31" s="22"/>
      <c r="E31" s="22"/>
      <c r="F31" s="22"/>
      <c r="G31" s="22"/>
      <c r="H31" s="22"/>
      <c r="I31" s="22"/>
      <c r="K31" s="24" t="s">
        <v>101</v>
      </c>
      <c r="L31" s="28" t="s">
        <v>102</v>
      </c>
      <c r="M31" s="26">
        <f t="shared" si="9"/>
        <v>0</v>
      </c>
      <c r="N31" s="26">
        <f t="shared" ref="N31:N39" si="10">M31/60</f>
        <v>0</v>
      </c>
      <c r="O31" s="27" t="str">
        <f t="shared" ref="O31:O39" si="11">IFERROR(M31/$M$40,"0%")</f>
        <v>0%</v>
      </c>
      <c r="P31" s="27" t="str">
        <f t="shared" ref="P31:P39" si="12">IFERROR(M31/$M$42,"0%")</f>
        <v>0%</v>
      </c>
      <c r="BY31" s="16" t="str">
        <f t="shared" si="8"/>
        <v>Rest</v>
      </c>
    </row>
    <row r="32" spans="2:77" s="17" customFormat="1" ht="20" customHeight="1" x14ac:dyDescent="0.2">
      <c r="B32" s="13" t="s">
        <v>97</v>
      </c>
      <c r="C32" s="22"/>
      <c r="D32" s="22"/>
      <c r="E32" s="22"/>
      <c r="F32" s="22"/>
      <c r="G32" s="22"/>
      <c r="H32" s="22"/>
      <c r="I32" s="22"/>
      <c r="K32" s="24" t="s">
        <v>104</v>
      </c>
      <c r="L32" s="29" t="s">
        <v>105</v>
      </c>
      <c r="M32" s="26">
        <f t="shared" si="9"/>
        <v>0</v>
      </c>
      <c r="N32" s="26">
        <f t="shared" si="10"/>
        <v>0</v>
      </c>
      <c r="O32" s="27" t="str">
        <f t="shared" si="11"/>
        <v>0%</v>
      </c>
      <c r="P32" s="27" t="str">
        <f t="shared" si="12"/>
        <v>0%</v>
      </c>
      <c r="BY32" s="16" t="str">
        <f t="shared" si="8"/>
        <v>Blank1P</v>
      </c>
    </row>
    <row r="33" spans="2:77" s="17" customFormat="1" ht="20" customHeight="1" x14ac:dyDescent="0.2">
      <c r="B33" s="13" t="s">
        <v>100</v>
      </c>
      <c r="C33" s="22"/>
      <c r="D33" s="22"/>
      <c r="E33" s="22"/>
      <c r="F33" s="22"/>
      <c r="G33" s="22"/>
      <c r="H33" s="22"/>
      <c r="I33" s="22"/>
      <c r="K33" s="24" t="s">
        <v>107</v>
      </c>
      <c r="L33" s="30" t="s">
        <v>108</v>
      </c>
      <c r="M33" s="26">
        <f t="shared" si="9"/>
        <v>0</v>
      </c>
      <c r="N33" s="26">
        <f t="shared" si="10"/>
        <v>0</v>
      </c>
      <c r="O33" s="27" t="str">
        <f t="shared" si="11"/>
        <v>0%</v>
      </c>
      <c r="P33" s="27" t="str">
        <f t="shared" si="12"/>
        <v>0%</v>
      </c>
      <c r="BY33" s="16" t="str">
        <f t="shared" si="8"/>
        <v>Blank2P</v>
      </c>
    </row>
    <row r="34" spans="2:77" s="17" customFormat="1" ht="20" customHeight="1" x14ac:dyDescent="0.2">
      <c r="B34" s="13" t="s">
        <v>103</v>
      </c>
      <c r="C34" s="22"/>
      <c r="D34" s="22"/>
      <c r="E34" s="22"/>
      <c r="F34" s="22"/>
      <c r="G34" s="22"/>
      <c r="H34" s="22"/>
      <c r="I34" s="22"/>
      <c r="K34" s="24" t="s">
        <v>110</v>
      </c>
      <c r="L34" s="31" t="s">
        <v>110</v>
      </c>
      <c r="M34" s="26">
        <f t="shared" si="9"/>
        <v>0</v>
      </c>
      <c r="N34" s="26">
        <f t="shared" si="10"/>
        <v>0</v>
      </c>
      <c r="O34" s="27" t="str">
        <f t="shared" si="11"/>
        <v>0%</v>
      </c>
      <c r="P34" s="27" t="str">
        <f t="shared" si="12"/>
        <v>0%</v>
      </c>
      <c r="BY34" s="16" t="str">
        <f t="shared" si="8"/>
        <v>Blank3P</v>
      </c>
    </row>
    <row r="35" spans="2:77" s="17" customFormat="1" ht="20" customHeight="1" x14ac:dyDescent="0.2">
      <c r="B35" s="13" t="s">
        <v>106</v>
      </c>
      <c r="C35" s="22"/>
      <c r="D35" s="22"/>
      <c r="E35" s="22"/>
      <c r="F35" s="22"/>
      <c r="G35" s="22"/>
      <c r="H35" s="22"/>
      <c r="I35" s="22"/>
      <c r="K35" s="24" t="s">
        <v>112</v>
      </c>
      <c r="L35" s="32" t="s">
        <v>112</v>
      </c>
      <c r="M35" s="26">
        <f t="shared" si="9"/>
        <v>0</v>
      </c>
      <c r="N35" s="26">
        <f t="shared" si="10"/>
        <v>0</v>
      </c>
      <c r="O35" s="27" t="str">
        <f t="shared" si="11"/>
        <v>0%</v>
      </c>
      <c r="P35" s="27" t="str">
        <f t="shared" si="12"/>
        <v>0%</v>
      </c>
      <c r="BY35" s="16" t="str">
        <f t="shared" si="8"/>
        <v>Blank4P</v>
      </c>
    </row>
    <row r="36" spans="2:77" s="17" customFormat="1" ht="20" customHeight="1" x14ac:dyDescent="0.2">
      <c r="B36" s="13" t="s">
        <v>109</v>
      </c>
      <c r="C36" s="22"/>
      <c r="D36" s="22"/>
      <c r="E36" s="22"/>
      <c r="F36" s="22"/>
      <c r="G36" s="22"/>
      <c r="H36" s="22"/>
      <c r="I36" s="22"/>
      <c r="K36" s="35" t="s">
        <v>171</v>
      </c>
      <c r="L36" s="44" t="s">
        <v>165</v>
      </c>
      <c r="M36" s="26">
        <f t="shared" si="9"/>
        <v>0</v>
      </c>
      <c r="N36" s="26">
        <f t="shared" si="10"/>
        <v>0</v>
      </c>
      <c r="O36" s="27" t="str">
        <f t="shared" si="11"/>
        <v>0%</v>
      </c>
      <c r="P36" s="27" t="str">
        <f t="shared" si="12"/>
        <v>0%</v>
      </c>
      <c r="BY36" s="16"/>
    </row>
    <row r="37" spans="2:77" s="17" customFormat="1" ht="20" customHeight="1" x14ac:dyDescent="0.2">
      <c r="B37" s="13" t="s">
        <v>111</v>
      </c>
      <c r="C37" s="22"/>
      <c r="D37" s="22"/>
      <c r="E37" s="22"/>
      <c r="F37" s="22"/>
      <c r="G37" s="22"/>
      <c r="H37" s="22"/>
      <c r="I37" s="22"/>
      <c r="K37" s="35" t="s">
        <v>172</v>
      </c>
      <c r="L37" s="45" t="s">
        <v>166</v>
      </c>
      <c r="M37" s="26">
        <f t="shared" si="9"/>
        <v>0</v>
      </c>
      <c r="N37" s="26">
        <f t="shared" si="10"/>
        <v>0</v>
      </c>
      <c r="O37" s="27" t="str">
        <f t="shared" si="11"/>
        <v>0%</v>
      </c>
      <c r="P37" s="27" t="str">
        <f t="shared" si="12"/>
        <v>0%</v>
      </c>
      <c r="BY37" s="16"/>
    </row>
    <row r="38" spans="2:77" s="17" customFormat="1" ht="20" customHeight="1" x14ac:dyDescent="0.2">
      <c r="B38" s="13" t="s">
        <v>113</v>
      </c>
      <c r="C38" s="22"/>
      <c r="D38" s="22"/>
      <c r="E38" s="22"/>
      <c r="F38" s="22"/>
      <c r="G38" s="22"/>
      <c r="H38" s="22"/>
      <c r="I38" s="22"/>
      <c r="K38" s="35" t="s">
        <v>173</v>
      </c>
      <c r="L38" s="46" t="s">
        <v>167</v>
      </c>
      <c r="M38" s="26">
        <f t="shared" si="9"/>
        <v>0</v>
      </c>
      <c r="N38" s="26">
        <f t="shared" si="10"/>
        <v>0</v>
      </c>
      <c r="O38" s="27" t="str">
        <f t="shared" si="11"/>
        <v>0%</v>
      </c>
      <c r="P38" s="27" t="str">
        <f t="shared" si="12"/>
        <v>0%</v>
      </c>
      <c r="BY38" s="16"/>
    </row>
    <row r="39" spans="2:77" s="17" customFormat="1" ht="20" customHeight="1" x14ac:dyDescent="0.2">
      <c r="B39" s="13" t="s">
        <v>114</v>
      </c>
      <c r="C39" s="22"/>
      <c r="D39" s="22"/>
      <c r="E39" s="22"/>
      <c r="F39" s="22"/>
      <c r="G39" s="22"/>
      <c r="H39" s="22"/>
      <c r="I39" s="22"/>
      <c r="K39" s="35" t="s">
        <v>174</v>
      </c>
      <c r="L39" s="47" t="s">
        <v>168</v>
      </c>
      <c r="M39" s="26">
        <f t="shared" si="9"/>
        <v>0</v>
      </c>
      <c r="N39" s="26">
        <f t="shared" si="10"/>
        <v>0</v>
      </c>
      <c r="O39" s="27" t="str">
        <f t="shared" si="11"/>
        <v>0%</v>
      </c>
      <c r="P39" s="27" t="str">
        <f t="shared" si="12"/>
        <v>0%</v>
      </c>
      <c r="BY39" s="16"/>
    </row>
    <row r="40" spans="2:77" s="17" customFormat="1" ht="20" customHeight="1" x14ac:dyDescent="0.2">
      <c r="B40" s="13" t="s">
        <v>115</v>
      </c>
      <c r="C40" s="22"/>
      <c r="D40" s="22"/>
      <c r="E40" s="22"/>
      <c r="F40" s="22"/>
      <c r="G40" s="22"/>
      <c r="H40" s="22"/>
      <c r="I40" s="22"/>
      <c r="K40" s="114" t="s">
        <v>91</v>
      </c>
      <c r="L40" s="115"/>
      <c r="M40" s="41">
        <f>SUM(M30:M39)</f>
        <v>0</v>
      </c>
      <c r="N40" s="41">
        <f t="shared" si="4"/>
        <v>0</v>
      </c>
      <c r="O40" s="116" t="str">
        <f>IFERROR(M40/$M$42,"0%")</f>
        <v>0%</v>
      </c>
      <c r="P40" s="117"/>
      <c r="BY40" s="16"/>
    </row>
    <row r="41" spans="2:77" s="17" customFormat="1" ht="20" customHeight="1" x14ac:dyDescent="0.2">
      <c r="B41" s="13" t="s">
        <v>116</v>
      </c>
      <c r="C41" s="22"/>
      <c r="D41" s="22"/>
      <c r="E41" s="22"/>
      <c r="F41" s="22"/>
      <c r="G41" s="22"/>
      <c r="H41" s="22"/>
      <c r="I41" s="22"/>
      <c r="K41" s="48"/>
      <c r="L41" s="48"/>
      <c r="M41" s="48"/>
      <c r="N41" s="48"/>
      <c r="O41" s="48"/>
      <c r="P41" s="48"/>
    </row>
    <row r="42" spans="2:77" s="17" customFormat="1" ht="20" customHeight="1" x14ac:dyDescent="0.2">
      <c r="B42" s="13" t="s">
        <v>117</v>
      </c>
      <c r="C42" s="22"/>
      <c r="D42" s="22"/>
      <c r="E42" s="22"/>
      <c r="F42" s="22"/>
      <c r="G42" s="22"/>
      <c r="H42" s="22"/>
      <c r="I42" s="22"/>
      <c r="K42" s="113" t="s">
        <v>124</v>
      </c>
      <c r="L42" s="113"/>
      <c r="M42" s="41">
        <f>M26+M40</f>
        <v>0</v>
      </c>
      <c r="N42" s="41">
        <f t="shared" si="4"/>
        <v>0</v>
      </c>
      <c r="O42" s="48"/>
      <c r="P42" s="48"/>
    </row>
    <row r="43" spans="2:77" s="17" customFormat="1" ht="20" customHeight="1" x14ac:dyDescent="0.2">
      <c r="B43" s="13" t="s">
        <v>118</v>
      </c>
      <c r="C43" s="22"/>
      <c r="D43" s="22"/>
      <c r="E43" s="22"/>
      <c r="F43" s="22"/>
      <c r="G43" s="22"/>
      <c r="H43" s="22"/>
      <c r="I43" s="22"/>
    </row>
    <row r="44" spans="2:77" s="17" customFormat="1" ht="20" customHeight="1" x14ac:dyDescent="0.2">
      <c r="B44" s="13" t="s">
        <v>119</v>
      </c>
      <c r="C44" s="22"/>
      <c r="D44" s="22"/>
      <c r="E44" s="22"/>
      <c r="F44" s="22"/>
      <c r="G44" s="22"/>
      <c r="H44" s="22"/>
      <c r="I44" s="22"/>
      <c r="L44" s="42"/>
      <c r="M44" s="42"/>
      <c r="N44" s="42"/>
      <c r="O44" s="49"/>
    </row>
    <row r="45" spans="2:77" s="17" customFormat="1" ht="20" customHeight="1" x14ac:dyDescent="0.2">
      <c r="B45" s="13" t="s">
        <v>120</v>
      </c>
      <c r="C45" s="22"/>
      <c r="D45" s="22"/>
      <c r="E45" s="22"/>
      <c r="F45" s="22"/>
      <c r="G45" s="22"/>
      <c r="H45" s="22"/>
      <c r="I45" s="22"/>
      <c r="L45" s="42"/>
      <c r="M45" s="42"/>
      <c r="N45" s="42"/>
      <c r="O45" s="49"/>
    </row>
    <row r="46" spans="2:77" s="17" customFormat="1" ht="20" customHeight="1" x14ac:dyDescent="0.2">
      <c r="B46" s="13" t="s">
        <v>121</v>
      </c>
      <c r="C46" s="22"/>
      <c r="D46" s="22"/>
      <c r="E46" s="22"/>
      <c r="F46" s="22"/>
      <c r="G46" s="22"/>
      <c r="H46" s="22"/>
      <c r="I46" s="22"/>
      <c r="L46" s="42"/>
      <c r="M46" s="42"/>
      <c r="N46" s="42"/>
      <c r="O46" s="49"/>
    </row>
    <row r="47" spans="2:77" s="17" customFormat="1" ht="20" customHeight="1" x14ac:dyDescent="0.2">
      <c r="B47" s="13" t="s">
        <v>122</v>
      </c>
      <c r="C47" s="22"/>
      <c r="D47" s="22"/>
      <c r="E47" s="22"/>
      <c r="F47" s="22"/>
      <c r="G47" s="22"/>
      <c r="H47" s="22"/>
      <c r="I47" s="22"/>
      <c r="L47" s="42"/>
      <c r="M47" s="42"/>
      <c r="N47" s="42"/>
      <c r="O47" s="49"/>
    </row>
    <row r="48" spans="2:77" s="17" customFormat="1" ht="20" customHeight="1" x14ac:dyDescent="0.2">
      <c r="B48" s="13" t="s">
        <v>123</v>
      </c>
      <c r="C48" s="22"/>
      <c r="D48" s="22"/>
      <c r="E48" s="22"/>
      <c r="F48" s="22"/>
      <c r="G48" s="22"/>
      <c r="H48" s="22"/>
      <c r="I48" s="22"/>
      <c r="L48" s="42"/>
      <c r="M48" s="42"/>
      <c r="N48" s="42"/>
      <c r="O48" s="49"/>
    </row>
    <row r="49" spans="2:15" s="17" customFormat="1" ht="20" customHeight="1" x14ac:dyDescent="0.2">
      <c r="B49" s="13" t="s">
        <v>125</v>
      </c>
      <c r="C49" s="22"/>
      <c r="D49" s="22"/>
      <c r="E49" s="22"/>
      <c r="F49" s="22"/>
      <c r="G49" s="22"/>
      <c r="H49" s="22"/>
      <c r="I49" s="22"/>
      <c r="L49" s="42"/>
      <c r="M49" s="42"/>
      <c r="N49" s="42"/>
      <c r="O49" s="49"/>
    </row>
    <row r="50" spans="2:15" s="17" customFormat="1" ht="20" customHeight="1" x14ac:dyDescent="0.2">
      <c r="B50" s="13" t="s">
        <v>126</v>
      </c>
      <c r="C50" s="22"/>
      <c r="D50" s="22"/>
      <c r="E50" s="22"/>
      <c r="F50" s="22"/>
      <c r="G50" s="22"/>
      <c r="H50" s="22"/>
      <c r="I50" s="22"/>
      <c r="L50" s="42"/>
      <c r="M50" s="42"/>
      <c r="N50" s="42"/>
      <c r="O50" s="49"/>
    </row>
    <row r="51" spans="2:15" s="17" customFormat="1" ht="20" customHeight="1" x14ac:dyDescent="0.2">
      <c r="B51" s="13" t="s">
        <v>127</v>
      </c>
      <c r="C51" s="22"/>
      <c r="D51" s="22"/>
      <c r="E51" s="22"/>
      <c r="F51" s="22"/>
      <c r="G51" s="22"/>
      <c r="H51" s="22"/>
      <c r="I51" s="22"/>
      <c r="L51" s="42"/>
      <c r="M51" s="42"/>
      <c r="N51" s="42"/>
      <c r="O51" s="49"/>
    </row>
    <row r="52" spans="2:15" s="17" customFormat="1" ht="20" customHeight="1" x14ac:dyDescent="0.2">
      <c r="B52" s="13" t="s">
        <v>128</v>
      </c>
      <c r="C52" s="22"/>
      <c r="D52" s="22"/>
      <c r="E52" s="22"/>
      <c r="F52" s="22"/>
      <c r="G52" s="22"/>
      <c r="H52" s="22"/>
      <c r="I52" s="22"/>
      <c r="L52" s="42"/>
      <c r="M52" s="42"/>
      <c r="N52" s="42"/>
      <c r="O52" s="49"/>
    </row>
    <row r="53" spans="2:15" s="17" customFormat="1" ht="20" customHeight="1" x14ac:dyDescent="0.2">
      <c r="B53" s="13" t="s">
        <v>129</v>
      </c>
      <c r="C53" s="22"/>
      <c r="D53" s="22"/>
      <c r="E53" s="22"/>
      <c r="F53" s="22"/>
      <c r="G53" s="22"/>
      <c r="H53" s="22"/>
      <c r="I53" s="22"/>
      <c r="L53" s="42"/>
      <c r="M53" s="42"/>
      <c r="N53" s="42"/>
      <c r="O53" s="49"/>
    </row>
    <row r="54" spans="2:15" s="17" customFormat="1" ht="20" customHeight="1" x14ac:dyDescent="0.2">
      <c r="B54" s="13" t="s">
        <v>130</v>
      </c>
      <c r="C54" s="22"/>
      <c r="D54" s="22"/>
      <c r="E54" s="22"/>
      <c r="F54" s="22"/>
      <c r="G54" s="22"/>
      <c r="H54" s="22"/>
      <c r="I54" s="22"/>
      <c r="L54" s="42"/>
      <c r="M54" s="42"/>
      <c r="N54" s="42"/>
      <c r="O54" s="49"/>
    </row>
    <row r="55" spans="2:15" s="17" customFormat="1" ht="20" customHeight="1" x14ac:dyDescent="0.2">
      <c r="B55" s="13" t="s">
        <v>131</v>
      </c>
      <c r="C55" s="22"/>
      <c r="D55" s="22"/>
      <c r="E55" s="22"/>
      <c r="F55" s="22"/>
      <c r="G55" s="22"/>
      <c r="H55" s="22"/>
      <c r="I55" s="22"/>
    </row>
    <row r="56" spans="2:15" s="17" customFormat="1" ht="20" customHeight="1" x14ac:dyDescent="0.2">
      <c r="B56" s="13" t="s">
        <v>132</v>
      </c>
      <c r="C56" s="22"/>
      <c r="D56" s="22"/>
      <c r="E56" s="22"/>
      <c r="F56" s="22"/>
      <c r="G56" s="22"/>
      <c r="H56" s="22"/>
      <c r="I56" s="22"/>
    </row>
    <row r="57" spans="2:15" s="17" customFormat="1" ht="20" customHeight="1" x14ac:dyDescent="0.2">
      <c r="B57" s="13" t="s">
        <v>133</v>
      </c>
      <c r="C57" s="22"/>
      <c r="D57" s="22"/>
      <c r="E57" s="22"/>
      <c r="F57" s="22"/>
      <c r="G57" s="22"/>
      <c r="H57" s="22"/>
      <c r="I57" s="22"/>
    </row>
    <row r="58" spans="2:15" s="17" customFormat="1" ht="20" customHeight="1" x14ac:dyDescent="0.2">
      <c r="B58" s="13" t="s">
        <v>134</v>
      </c>
      <c r="C58" s="22"/>
      <c r="D58" s="22"/>
      <c r="E58" s="22"/>
      <c r="F58" s="22"/>
      <c r="G58" s="22"/>
      <c r="H58" s="22"/>
      <c r="I58" s="22"/>
    </row>
    <row r="59" spans="2:15" s="17" customFormat="1" ht="20" customHeight="1" x14ac:dyDescent="0.2">
      <c r="B59" s="13" t="s">
        <v>135</v>
      </c>
      <c r="C59" s="22"/>
      <c r="D59" s="22"/>
      <c r="E59" s="22"/>
      <c r="F59" s="22"/>
      <c r="G59" s="22"/>
      <c r="H59" s="22"/>
      <c r="I59" s="22"/>
    </row>
    <row r="60" spans="2:15" s="17" customFormat="1" ht="20" customHeight="1" x14ac:dyDescent="0.2">
      <c r="B60" s="13" t="s">
        <v>136</v>
      </c>
      <c r="C60" s="22"/>
      <c r="D60" s="22"/>
      <c r="E60" s="22"/>
      <c r="F60" s="22"/>
      <c r="G60" s="22"/>
      <c r="H60" s="22"/>
      <c r="I60" s="22"/>
    </row>
    <row r="61" spans="2:15" s="17" customFormat="1" ht="20" customHeight="1" x14ac:dyDescent="0.2">
      <c r="B61" s="13" t="s">
        <v>137</v>
      </c>
      <c r="C61" s="22"/>
      <c r="D61" s="22"/>
      <c r="E61" s="22"/>
      <c r="F61" s="22"/>
      <c r="G61" s="22"/>
      <c r="H61" s="22"/>
      <c r="I61" s="22"/>
    </row>
    <row r="62" spans="2:15" s="17" customFormat="1" ht="20" customHeight="1" x14ac:dyDescent="0.2">
      <c r="B62" s="13" t="s">
        <v>138</v>
      </c>
      <c r="C62" s="22"/>
      <c r="D62" s="22"/>
      <c r="E62" s="22"/>
      <c r="F62" s="22"/>
      <c r="G62" s="22"/>
      <c r="H62" s="22"/>
      <c r="I62" s="22"/>
    </row>
    <row r="63" spans="2:15" s="17" customFormat="1" ht="20" customHeight="1" x14ac:dyDescent="0.2">
      <c r="B63" s="13" t="s">
        <v>139</v>
      </c>
      <c r="C63" s="22"/>
      <c r="D63" s="22"/>
      <c r="E63" s="22"/>
      <c r="F63" s="22"/>
      <c r="G63" s="22"/>
      <c r="H63" s="22"/>
      <c r="I63" s="22"/>
    </row>
    <row r="64" spans="2:15" s="17" customFormat="1" ht="20" customHeight="1" x14ac:dyDescent="0.2">
      <c r="B64" s="13" t="s">
        <v>140</v>
      </c>
      <c r="C64" s="22"/>
      <c r="D64" s="22"/>
      <c r="E64" s="22"/>
      <c r="F64" s="22"/>
      <c r="G64" s="22"/>
      <c r="H64" s="22"/>
      <c r="I64" s="22"/>
    </row>
    <row r="65" spans="2:16" s="17" customFormat="1" ht="20" customHeight="1" x14ac:dyDescent="0.2">
      <c r="B65" s="13" t="s">
        <v>141</v>
      </c>
      <c r="C65" s="22"/>
      <c r="D65" s="22"/>
      <c r="E65" s="22"/>
      <c r="F65" s="22"/>
      <c r="G65" s="22"/>
      <c r="H65" s="22"/>
      <c r="I65" s="22"/>
    </row>
    <row r="66" spans="2:16" s="17" customFormat="1" ht="20" customHeight="1" x14ac:dyDescent="0.2">
      <c r="B66" s="13" t="s">
        <v>142</v>
      </c>
      <c r="C66" s="22"/>
      <c r="D66" s="22"/>
      <c r="E66" s="22"/>
      <c r="F66" s="23"/>
      <c r="G66" s="23"/>
      <c r="H66" s="23"/>
      <c r="I66" s="23"/>
    </row>
    <row r="67" spans="2:16" s="17" customFormat="1" ht="20" customHeight="1" x14ac:dyDescent="0.2">
      <c r="B67" s="13" t="s">
        <v>143</v>
      </c>
      <c r="C67" s="22"/>
      <c r="D67" s="22"/>
      <c r="E67" s="22"/>
      <c r="F67" s="23"/>
      <c r="G67" s="23"/>
      <c r="H67" s="23"/>
      <c r="I67" s="23"/>
    </row>
    <row r="68" spans="2:16" s="17" customFormat="1" ht="20" customHeight="1" x14ac:dyDescent="0.2">
      <c r="B68" s="13" t="s">
        <v>144</v>
      </c>
      <c r="C68" s="22"/>
      <c r="D68" s="22"/>
      <c r="E68" s="22"/>
      <c r="F68" s="23"/>
      <c r="G68" s="23"/>
      <c r="H68" s="23"/>
      <c r="I68" s="23"/>
    </row>
    <row r="69" spans="2:16" s="17" customFormat="1" ht="20" customHeight="1" x14ac:dyDescent="0.2">
      <c r="B69" s="13" t="s">
        <v>145</v>
      </c>
      <c r="C69" s="22"/>
      <c r="D69" s="22"/>
      <c r="E69" s="22"/>
      <c r="F69" s="23"/>
      <c r="G69" s="23"/>
      <c r="H69" s="23"/>
      <c r="I69" s="23"/>
    </row>
    <row r="70" spans="2:16" s="17" customFormat="1" ht="20" customHeight="1" x14ac:dyDescent="0.2">
      <c r="B70" s="13" t="s">
        <v>146</v>
      </c>
      <c r="C70" s="22"/>
      <c r="D70" s="22"/>
      <c r="E70" s="22"/>
      <c r="F70" s="23"/>
      <c r="G70" s="23"/>
      <c r="H70" s="23"/>
      <c r="I70" s="23"/>
    </row>
    <row r="71" spans="2:16" s="17" customFormat="1" ht="20" customHeight="1" x14ac:dyDescent="0.2">
      <c r="B71" s="13" t="s">
        <v>147</v>
      </c>
      <c r="C71" s="22"/>
      <c r="D71" s="22"/>
      <c r="E71" s="22"/>
      <c r="F71" s="23"/>
      <c r="G71" s="23"/>
      <c r="H71" s="23"/>
      <c r="I71" s="23"/>
    </row>
    <row r="72" spans="2:16" s="17" customFormat="1" ht="20" customHeight="1" x14ac:dyDescent="0.2">
      <c r="B72" s="13" t="s">
        <v>148</v>
      </c>
      <c r="C72" s="22"/>
      <c r="D72" s="22"/>
      <c r="E72" s="22"/>
      <c r="F72" s="23"/>
      <c r="G72" s="23"/>
      <c r="H72" s="23"/>
      <c r="I72" s="23"/>
    </row>
    <row r="73" spans="2:16" s="17" customFormat="1" ht="20" customHeight="1" x14ac:dyDescent="0.2">
      <c r="B73" s="13" t="s">
        <v>149</v>
      </c>
      <c r="C73" s="22"/>
      <c r="D73" s="22"/>
      <c r="E73" s="22"/>
      <c r="F73" s="23"/>
      <c r="G73" s="23"/>
      <c r="H73" s="23"/>
      <c r="I73" s="23"/>
    </row>
    <row r="74" spans="2:16" s="17" customFormat="1" ht="20" customHeight="1" x14ac:dyDescent="0.2">
      <c r="B74" s="13" t="s">
        <v>150</v>
      </c>
      <c r="C74" s="22"/>
      <c r="D74" s="22"/>
      <c r="E74" s="22"/>
      <c r="F74" s="23"/>
      <c r="G74" s="23"/>
      <c r="H74" s="23"/>
      <c r="I74" s="23"/>
    </row>
    <row r="75" spans="2:16" s="17" customFormat="1" ht="20" customHeight="1" x14ac:dyDescent="0.2">
      <c r="B75" s="13" t="s">
        <v>151</v>
      </c>
      <c r="C75" s="22"/>
      <c r="D75" s="22"/>
      <c r="E75" s="22"/>
      <c r="F75" s="23"/>
      <c r="G75" s="23"/>
      <c r="H75" s="23"/>
      <c r="I75" s="23"/>
      <c r="K75" s="10"/>
      <c r="L75" s="9"/>
      <c r="M75" s="9"/>
      <c r="N75" s="9"/>
      <c r="O75" s="18"/>
      <c r="P75" s="10"/>
    </row>
    <row r="76" spans="2:16" s="17" customFormat="1" ht="20" customHeight="1" x14ac:dyDescent="0.2">
      <c r="B76" s="13" t="s">
        <v>152</v>
      </c>
      <c r="C76" s="22"/>
      <c r="D76" s="22"/>
      <c r="E76" s="22"/>
      <c r="F76" s="23"/>
      <c r="G76" s="23"/>
      <c r="H76" s="23"/>
      <c r="I76" s="23"/>
      <c r="K76" s="10"/>
      <c r="L76" s="9"/>
      <c r="M76" s="9"/>
      <c r="N76" s="9"/>
      <c r="O76" s="18"/>
      <c r="P76" s="10"/>
    </row>
    <row r="77" spans="2:16" s="17" customFormat="1" ht="20" customHeight="1" x14ac:dyDescent="0.2">
      <c r="B77" s="13" t="s">
        <v>153</v>
      </c>
      <c r="C77" s="22"/>
      <c r="D77" s="22"/>
      <c r="E77" s="22"/>
      <c r="F77" s="23"/>
      <c r="G77" s="23"/>
      <c r="H77" s="23"/>
      <c r="I77" s="23"/>
      <c r="K77" s="10"/>
      <c r="L77" s="9"/>
      <c r="M77" s="9"/>
      <c r="N77" s="9"/>
      <c r="O77" s="18"/>
      <c r="P77" s="10"/>
    </row>
    <row r="78" spans="2:16" s="17" customFormat="1" ht="20" customHeight="1" x14ac:dyDescent="0.2">
      <c r="B78" s="13" t="s">
        <v>154</v>
      </c>
      <c r="C78" s="22"/>
      <c r="D78" s="22"/>
      <c r="E78" s="22"/>
      <c r="F78" s="23"/>
      <c r="G78" s="23"/>
      <c r="H78" s="23"/>
      <c r="I78" s="23"/>
      <c r="K78" s="10"/>
      <c r="L78" s="9"/>
      <c r="M78" s="9"/>
      <c r="N78" s="9"/>
      <c r="O78" s="18"/>
      <c r="P78" s="10"/>
    </row>
    <row r="79" spans="2:16" s="17" customFormat="1" ht="20" customHeight="1" x14ac:dyDescent="0.2">
      <c r="B79" s="13" t="s">
        <v>155</v>
      </c>
      <c r="C79" s="22"/>
      <c r="D79" s="22"/>
      <c r="E79" s="22"/>
      <c r="F79" s="23"/>
      <c r="G79" s="23"/>
      <c r="H79" s="23"/>
      <c r="I79" s="23"/>
      <c r="K79" s="10"/>
      <c r="L79" s="9"/>
      <c r="M79" s="9"/>
      <c r="N79" s="9"/>
      <c r="O79" s="18"/>
      <c r="P79" s="10"/>
    </row>
  </sheetData>
  <sheetProtection algorithmName="SHA-512" hashValue="5XO96tAkhsW7FjU9r4I3uhy+vavNvrqHaA2Y/6HdeCA0D2eSV9XsevnQWNsK6oKFgRd/SBe5rJ+UOIAXRK6img==" saltValue="wqdHldElOR1ybFUVxcVQCg==" spinCount="100000" sheet="1" objects="1" scenarios="1" selectLockedCells="1"/>
  <mergeCells count="23">
    <mergeCell ref="O28:O29"/>
    <mergeCell ref="P28:P29"/>
    <mergeCell ref="K42:L42"/>
    <mergeCell ref="K40:L40"/>
    <mergeCell ref="K26:L26"/>
    <mergeCell ref="O26:P26"/>
    <mergeCell ref="O40:P40"/>
    <mergeCell ref="L28:L29"/>
    <mergeCell ref="M28:N28"/>
    <mergeCell ref="O10:O11"/>
    <mergeCell ref="P10:P11"/>
    <mergeCell ref="B2:P2"/>
    <mergeCell ref="B4:P4"/>
    <mergeCell ref="B10:B11"/>
    <mergeCell ref="C10:C11"/>
    <mergeCell ref="D10:D11"/>
    <mergeCell ref="E10:E11"/>
    <mergeCell ref="F10:F11"/>
    <mergeCell ref="G10:G11"/>
    <mergeCell ref="H10:H11"/>
    <mergeCell ref="I10:I11"/>
    <mergeCell ref="M10:N10"/>
    <mergeCell ref="L10:L11"/>
  </mergeCells>
  <conditionalFormatting sqref="C13:I79">
    <cfRule type="cellIs" dxfId="26" priority="1" operator="equal">
      <formula>$L$39</formula>
    </cfRule>
    <cfRule type="cellIs" dxfId="25" priority="2" operator="equal">
      <formula>$L$38</formula>
    </cfRule>
    <cfRule type="cellIs" dxfId="24" priority="3" operator="equal">
      <formula>$L$37</formula>
    </cfRule>
    <cfRule type="cellIs" dxfId="23" priority="4" operator="equal">
      <formula>$L$36</formula>
    </cfRule>
    <cfRule type="cellIs" dxfId="22" priority="5" operator="equal">
      <formula>$L$25</formula>
    </cfRule>
    <cfRule type="cellIs" dxfId="21" priority="6" operator="equal">
      <formula>$L$24</formula>
    </cfRule>
    <cfRule type="cellIs" dxfId="20" priority="7" operator="equal">
      <formula>$L$23</formula>
    </cfRule>
    <cfRule type="cellIs" dxfId="19" priority="8" operator="equal">
      <formula>$L$22</formula>
    </cfRule>
    <cfRule type="cellIs" dxfId="18" priority="65" operator="equal">
      <formula>$L$35</formula>
    </cfRule>
    <cfRule type="cellIs" dxfId="17" priority="66" operator="equal">
      <formula>$L$34</formula>
    </cfRule>
    <cfRule type="cellIs" dxfId="16" priority="67" operator="equal">
      <formula>$L$33</formula>
    </cfRule>
    <cfRule type="cellIs" dxfId="15" priority="68" operator="equal">
      <formula>$L$32</formula>
    </cfRule>
    <cfRule type="cellIs" dxfId="14" priority="69" operator="equal">
      <formula>$L$31</formula>
    </cfRule>
    <cfRule type="cellIs" dxfId="13" priority="70" operator="equal">
      <formula>$L$30</formula>
    </cfRule>
    <cfRule type="cellIs" dxfId="12" priority="71" operator="equal">
      <formula>$L$20</formula>
    </cfRule>
    <cfRule type="cellIs" dxfId="11" priority="72" operator="equal">
      <formula>$L$19</formula>
    </cfRule>
    <cfRule type="cellIs" dxfId="10" priority="73" operator="equal">
      <formula>$L$18</formula>
    </cfRule>
    <cfRule type="cellIs" dxfId="9" priority="74" operator="equal">
      <formula>$L$17</formula>
    </cfRule>
    <cfRule type="cellIs" dxfId="8" priority="75" operator="equal">
      <formula>$L$16</formula>
    </cfRule>
    <cfRule type="cellIs" dxfId="7" priority="76" operator="equal">
      <formula>$L$15</formula>
    </cfRule>
    <cfRule type="cellIs" dxfId="6" priority="77" operator="equal">
      <formula>$L$14</formula>
    </cfRule>
    <cfRule type="cellIs" dxfId="5" priority="78" operator="equal">
      <formula>$L$13</formula>
    </cfRule>
  </conditionalFormatting>
  <dataValidations count="1">
    <dataValidation type="list" allowBlank="1" showInputMessage="1" showErrorMessage="1" sqref="C13:I79" xr:uid="{00000000-0002-0000-0100-000000000000}">
      <formula1>$BY$13:$BY$35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tabColor rgb="FFFF7575"/>
  </sheetPr>
  <dimension ref="B1:E20"/>
  <sheetViews>
    <sheetView showGridLines="0" zoomScaleNormal="100" workbookViewId="0">
      <pane ySplit="4" topLeftCell="A5" activePane="bottomLeft" state="frozen"/>
      <selection activeCell="B2" sqref="B2:P2"/>
      <selection pane="bottomLeft" activeCell="D14" sqref="D14:E14"/>
    </sheetView>
  </sheetViews>
  <sheetFormatPr baseColWidth="10" defaultColWidth="8.83203125" defaultRowHeight="21" x14ac:dyDescent="0.25"/>
  <cols>
    <col min="1" max="1" width="1" style="6" customWidth="1"/>
    <col min="2" max="2" width="73.5" style="6" customWidth="1"/>
    <col min="3" max="3" width="8.5" style="6" customWidth="1"/>
    <col min="4" max="4" width="20.5" style="6" customWidth="1"/>
    <col min="5" max="16384" width="8.83203125" style="6"/>
  </cols>
  <sheetData>
    <row r="1" spans="2:5" ht="4.5" customHeight="1" x14ac:dyDescent="0.25"/>
    <row r="2" spans="2:5" s="7" customFormat="1" ht="30.75" customHeight="1" x14ac:dyDescent="0.2">
      <c r="B2" s="122" t="s">
        <v>38</v>
      </c>
      <c r="C2" s="122"/>
      <c r="D2" s="122"/>
      <c r="E2" s="122"/>
    </row>
    <row r="3" spans="2:5" ht="5.25" customHeight="1" x14ac:dyDescent="0.25"/>
    <row r="4" spans="2:5" s="7" customFormat="1" ht="27" customHeight="1" x14ac:dyDescent="0.2">
      <c r="B4" s="94" t="s">
        <v>9</v>
      </c>
      <c r="C4" s="94"/>
      <c r="D4" s="95"/>
      <c r="E4" s="95"/>
    </row>
    <row r="5" spans="2:5" ht="7.5" customHeight="1" x14ac:dyDescent="0.25"/>
    <row r="6" spans="2:5" ht="20.25" customHeight="1" x14ac:dyDescent="0.25">
      <c r="B6" s="121" t="s">
        <v>39</v>
      </c>
      <c r="C6" s="121"/>
      <c r="D6" s="121"/>
      <c r="E6" s="121"/>
    </row>
    <row r="7" spans="2:5" ht="21.75" customHeight="1" x14ac:dyDescent="0.25">
      <c r="B7" s="121"/>
      <c r="C7" s="121"/>
      <c r="D7" s="121"/>
      <c r="E7" s="121"/>
    </row>
    <row r="8" spans="2:5" x14ac:dyDescent="0.25">
      <c r="B8" s="121"/>
      <c r="C8" s="121"/>
      <c r="D8" s="121"/>
      <c r="E8" s="121"/>
    </row>
    <row r="9" spans="2:5" ht="14.25" customHeight="1" x14ac:dyDescent="0.25">
      <c r="B9" s="50"/>
      <c r="C9" s="50"/>
      <c r="D9" s="50"/>
      <c r="E9" s="50"/>
    </row>
    <row r="10" spans="2:5" x14ac:dyDescent="0.25">
      <c r="B10" s="6" t="s">
        <v>15</v>
      </c>
    </row>
    <row r="11" spans="2:5" ht="21" customHeight="1" x14ac:dyDescent="0.25"/>
    <row r="12" spans="2:5" s="7" customFormat="1" ht="62.25" customHeight="1" x14ac:dyDescent="0.2">
      <c r="B12" s="51" t="s">
        <v>179</v>
      </c>
      <c r="C12" s="51"/>
      <c r="D12" s="123"/>
      <c r="E12" s="124"/>
    </row>
    <row r="13" spans="2:5" s="7" customFormat="1" ht="15" customHeight="1" x14ac:dyDescent="0.2">
      <c r="B13" s="52"/>
      <c r="C13" s="52"/>
      <c r="D13" s="53"/>
      <c r="E13" s="54"/>
    </row>
    <row r="14" spans="2:5" s="7" customFormat="1" ht="62.25" customHeight="1" x14ac:dyDescent="0.2">
      <c r="B14" s="51" t="s">
        <v>180</v>
      </c>
      <c r="C14" s="52"/>
      <c r="D14" s="125"/>
      <c r="E14" s="126"/>
    </row>
    <row r="15" spans="2:5" s="7" customFormat="1" ht="12.75" customHeight="1" x14ac:dyDescent="0.2">
      <c r="B15" s="51"/>
      <c r="C15" s="51"/>
      <c r="D15" s="55"/>
      <c r="E15" s="56"/>
    </row>
    <row r="16" spans="2:5" s="7" customFormat="1" ht="62.25" customHeight="1" x14ac:dyDescent="0.2">
      <c r="B16" s="51" t="s">
        <v>181</v>
      </c>
      <c r="C16" s="52"/>
      <c r="D16" s="125"/>
      <c r="E16" s="126"/>
    </row>
    <row r="17" spans="2:5" ht="42.75" customHeight="1" x14ac:dyDescent="0.3">
      <c r="B17" s="128" t="s">
        <v>40</v>
      </c>
      <c r="C17" s="57"/>
      <c r="D17" s="58"/>
      <c r="E17" s="58"/>
    </row>
    <row r="18" spans="2:5" ht="42" x14ac:dyDescent="0.5">
      <c r="B18" s="128"/>
      <c r="C18" s="50"/>
      <c r="D18" s="127" t="str">
        <f>IFERROR(D12/D14/D16,"$0.00")</f>
        <v>$0.00</v>
      </c>
      <c r="E18" s="127"/>
    </row>
    <row r="20" spans="2:5" ht="36" customHeight="1" x14ac:dyDescent="0.25">
      <c r="B20" s="120"/>
      <c r="C20" s="120"/>
      <c r="D20" s="120"/>
    </row>
  </sheetData>
  <sheetProtection algorithmName="SHA-512" hashValue="8dGHtiRtpl2lImRT8nXef46i6k/j8j3fGLV1R8tkqm7KW+wnoGqEne4uVJjZ1QdexS6pPaQT66UWHcJIIoyKdA==" saltValue="aa5z36ug1BEfsWnHdcwtiw==" spinCount="100000" sheet="1" objects="1" scenarios="1" selectLockedCells="1"/>
  <mergeCells count="8">
    <mergeCell ref="B20:D20"/>
    <mergeCell ref="B6:E8"/>
    <mergeCell ref="B2:E2"/>
    <mergeCell ref="D12:E12"/>
    <mergeCell ref="D14:E14"/>
    <mergeCell ref="D16:E16"/>
    <mergeCell ref="D18:E18"/>
    <mergeCell ref="B17:B18"/>
  </mergeCells>
  <pageMargins left="0.7" right="0.7" top="0.75" bottom="0.75" header="0.3" footer="0.3"/>
  <pageSetup orientation="portrait" horizontalDpi="1200" verticalDpi="12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tabColor rgb="FFFF7575"/>
  </sheetPr>
  <dimension ref="B1:AS500"/>
  <sheetViews>
    <sheetView showGridLines="0" topLeftCell="B1" zoomScaleNormal="100" workbookViewId="0">
      <pane xSplit="1" topLeftCell="C1" activePane="topRight" state="frozen"/>
      <selection activeCell="B1" sqref="B1"/>
      <selection pane="topRight" activeCell="G12" sqref="G12:G43"/>
    </sheetView>
  </sheetViews>
  <sheetFormatPr baseColWidth="10" defaultColWidth="8.83203125" defaultRowHeight="15" x14ac:dyDescent="0.2"/>
  <cols>
    <col min="1" max="1" width="0.83203125" customWidth="1"/>
    <col min="2" max="2" width="31.5" customWidth="1"/>
    <col min="3" max="3" width="15.83203125" customWidth="1"/>
    <col min="4" max="4" width="22.6640625" style="59" customWidth="1"/>
    <col min="5" max="5" width="102.6640625" customWidth="1"/>
    <col min="6" max="6" width="19.83203125" customWidth="1"/>
    <col min="7" max="7" width="21.33203125" customWidth="1"/>
    <col min="8" max="8" width="17.33203125" customWidth="1"/>
    <col min="9" max="14" width="6.6640625" style="59" hidden="1" customWidth="1"/>
    <col min="15" max="15" width="5.83203125" hidden="1" customWidth="1"/>
    <col min="16" max="29" width="32.1640625" customWidth="1"/>
    <col min="33" max="33" width="16.33203125" customWidth="1"/>
  </cols>
  <sheetData>
    <row r="1" spans="2:45" ht="5.25" customHeight="1" thickBot="1" x14ac:dyDescent="0.25"/>
    <row r="2" spans="2:45" s="7" customFormat="1" ht="30.75" customHeight="1" thickBot="1" x14ac:dyDescent="0.25">
      <c r="B2" s="108" t="s">
        <v>41</v>
      </c>
      <c r="C2" s="108"/>
      <c r="D2" s="108"/>
      <c r="E2" s="108"/>
      <c r="F2" s="108"/>
      <c r="G2" s="108"/>
      <c r="I2" s="60"/>
      <c r="J2" s="60"/>
      <c r="K2" s="60"/>
      <c r="L2" s="60"/>
      <c r="M2" s="60"/>
      <c r="N2" s="60"/>
      <c r="AD2" s="61" t="s">
        <v>6</v>
      </c>
      <c r="AE2" s="61" t="s">
        <v>18</v>
      </c>
      <c r="AF2" s="61"/>
      <c r="AG2" s="62" t="s">
        <v>47</v>
      </c>
      <c r="AH2" s="61" t="s">
        <v>27</v>
      </c>
      <c r="AR2" s="63" t="s">
        <v>20</v>
      </c>
      <c r="AS2" s="64" t="s">
        <v>36</v>
      </c>
    </row>
    <row r="3" spans="2:45" s="6" customFormat="1" ht="5.25" customHeight="1" thickBot="1" x14ac:dyDescent="0.3">
      <c r="D3" s="65"/>
      <c r="I3" s="65"/>
      <c r="J3" s="65"/>
      <c r="K3" s="65"/>
      <c r="L3" s="65"/>
      <c r="M3" s="65"/>
      <c r="N3" s="65"/>
      <c r="AD3" s="61" t="s">
        <v>7</v>
      </c>
      <c r="AE3" s="61" t="s">
        <v>3</v>
      </c>
      <c r="AF3" s="61"/>
      <c r="AG3" s="62" t="s">
        <v>32</v>
      </c>
      <c r="AH3" s="61" t="s">
        <v>28</v>
      </c>
      <c r="AI3" s="7"/>
      <c r="AJ3" s="7"/>
      <c r="AK3" s="7"/>
      <c r="AL3" s="7"/>
      <c r="AM3" s="7"/>
      <c r="AN3" s="7"/>
      <c r="AO3" s="7"/>
      <c r="AP3" s="7"/>
      <c r="AR3" s="66" t="s">
        <v>47</v>
      </c>
      <c r="AS3" s="67" t="s">
        <v>19</v>
      </c>
    </row>
    <row r="4" spans="2:45" s="7" customFormat="1" ht="27" customHeight="1" thickBot="1" x14ac:dyDescent="0.25">
      <c r="B4" s="109" t="s">
        <v>42</v>
      </c>
      <c r="C4" s="109"/>
      <c r="D4" s="109"/>
      <c r="E4" s="109"/>
      <c r="F4" s="109"/>
      <c r="G4" s="109"/>
      <c r="I4" s="60"/>
      <c r="J4" s="60"/>
      <c r="K4" s="60"/>
      <c r="L4" s="60"/>
      <c r="M4" s="60"/>
      <c r="N4" s="60"/>
      <c r="AD4" s="61" t="s">
        <v>11</v>
      </c>
      <c r="AE4" s="61" t="s">
        <v>0</v>
      </c>
      <c r="AF4" s="61"/>
      <c r="AG4" s="62" t="s">
        <v>33</v>
      </c>
      <c r="AH4" s="61" t="s">
        <v>29</v>
      </c>
      <c r="AR4" s="66" t="s">
        <v>32</v>
      </c>
      <c r="AS4" s="67" t="s">
        <v>0</v>
      </c>
    </row>
    <row r="5" spans="2:45" s="7" customFormat="1" ht="6" customHeight="1" thickBot="1" x14ac:dyDescent="0.25">
      <c r="B5" s="68"/>
      <c r="C5" s="68"/>
      <c r="D5" s="60"/>
      <c r="I5" s="60"/>
      <c r="J5" s="60"/>
      <c r="K5" s="60"/>
      <c r="L5" s="60"/>
      <c r="M5" s="60"/>
      <c r="N5" s="60"/>
      <c r="AD5" s="61" t="s">
        <v>12</v>
      </c>
      <c r="AE5" s="61" t="s">
        <v>19</v>
      </c>
      <c r="AF5" s="61"/>
      <c r="AG5" s="62" t="s">
        <v>34</v>
      </c>
      <c r="AH5" s="61"/>
      <c r="AR5" s="66" t="s">
        <v>33</v>
      </c>
      <c r="AS5" s="67" t="s">
        <v>0</v>
      </c>
    </row>
    <row r="6" spans="2:45" s="7" customFormat="1" ht="27" customHeight="1" thickBot="1" x14ac:dyDescent="0.25">
      <c r="B6" s="129" t="s">
        <v>43</v>
      </c>
      <c r="C6" s="129"/>
      <c r="D6" s="129"/>
      <c r="E6" s="129"/>
      <c r="F6" s="129"/>
      <c r="G6" s="129"/>
      <c r="I6" s="60"/>
      <c r="J6" s="60"/>
      <c r="K6" s="60"/>
      <c r="L6" s="60"/>
      <c r="M6" s="60"/>
      <c r="N6" s="60"/>
      <c r="AD6" s="61" t="s">
        <v>13</v>
      </c>
      <c r="AE6" s="61"/>
      <c r="AF6" s="61"/>
      <c r="AG6" s="62" t="s">
        <v>35</v>
      </c>
      <c r="AH6" s="61"/>
      <c r="AR6" s="66" t="s">
        <v>34</v>
      </c>
      <c r="AS6" s="67" t="s">
        <v>3</v>
      </c>
    </row>
    <row r="7" spans="2:45" ht="24" customHeight="1" thickBot="1" x14ac:dyDescent="0.3">
      <c r="B7" s="129"/>
      <c r="C7" s="129"/>
      <c r="D7" s="129"/>
      <c r="E7" s="129"/>
      <c r="F7" s="129"/>
      <c r="G7" s="129"/>
      <c r="H7" s="69"/>
      <c r="I7" s="70"/>
      <c r="J7" s="70"/>
      <c r="K7" s="70"/>
      <c r="L7" s="70"/>
      <c r="M7" s="70"/>
      <c r="N7" s="70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  <c r="AA7" s="69"/>
      <c r="AB7" s="69"/>
      <c r="AC7" s="69"/>
      <c r="AG7" s="62"/>
      <c r="AR7" s="66" t="s">
        <v>35</v>
      </c>
      <c r="AS7" s="67" t="s">
        <v>37</v>
      </c>
    </row>
    <row r="8" spans="2:45" ht="6" customHeight="1" x14ac:dyDescent="0.2">
      <c r="B8" s="130"/>
      <c r="C8" s="130"/>
      <c r="D8" s="130"/>
      <c r="E8" s="130"/>
      <c r="F8" s="130"/>
      <c r="G8" s="130"/>
      <c r="H8" s="71"/>
      <c r="I8" s="72"/>
      <c r="J8" s="72"/>
      <c r="K8" s="72"/>
      <c r="L8" s="72"/>
      <c r="M8" s="72"/>
      <c r="N8" s="72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G8" s="62"/>
    </row>
    <row r="9" spans="2:45" ht="59.25" customHeight="1" x14ac:dyDescent="0.2">
      <c r="B9" s="100" t="s">
        <v>16</v>
      </c>
      <c r="C9" s="100" t="s">
        <v>17</v>
      </c>
      <c r="D9" s="101" t="s">
        <v>188</v>
      </c>
      <c r="E9" s="100" t="s">
        <v>20</v>
      </c>
      <c r="F9" s="102" t="s">
        <v>160</v>
      </c>
      <c r="G9" s="102" t="s">
        <v>26</v>
      </c>
      <c r="AG9" s="62"/>
    </row>
    <row r="10" spans="2:45" ht="6.75" customHeight="1" x14ac:dyDescent="0.2">
      <c r="B10" s="73"/>
      <c r="C10" s="73"/>
      <c r="D10" s="74"/>
      <c r="E10" s="73"/>
      <c r="F10" s="73"/>
      <c r="G10" s="75"/>
      <c r="H10" s="73"/>
      <c r="I10" s="76"/>
      <c r="J10" s="76"/>
      <c r="K10" s="76"/>
      <c r="L10" s="76"/>
      <c r="M10" s="76"/>
      <c r="N10" s="76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G10" s="62"/>
    </row>
    <row r="11" spans="2:45" s="61" customFormat="1" ht="19" customHeight="1" x14ac:dyDescent="0.2">
      <c r="B11" s="104"/>
      <c r="C11" s="24"/>
      <c r="D11" s="36"/>
      <c r="E11" s="24"/>
      <c r="F11" s="77" t="str">
        <f t="shared" ref="F11:F74" si="0">IF(E11="","",IFERROR(VLOOKUP(E11,zone,2,0),""))</f>
        <v/>
      </c>
      <c r="G11" s="24"/>
      <c r="I11" s="78">
        <f>IF(B11="",0,1)</f>
        <v>0</v>
      </c>
      <c r="J11" s="78">
        <f t="shared" ref="J11:N11" si="1">IF(C11="",0,1)</f>
        <v>0</v>
      </c>
      <c r="K11" s="78">
        <f t="shared" si="1"/>
        <v>0</v>
      </c>
      <c r="L11" s="78">
        <f t="shared" si="1"/>
        <v>0</v>
      </c>
      <c r="M11" s="78">
        <f t="shared" si="1"/>
        <v>0</v>
      </c>
      <c r="N11" s="78">
        <f t="shared" si="1"/>
        <v>0</v>
      </c>
      <c r="O11" s="79">
        <f>SUM(I11:N11)</f>
        <v>0</v>
      </c>
      <c r="AG11" s="62"/>
    </row>
    <row r="12" spans="2:45" s="61" customFormat="1" ht="19" customHeight="1" x14ac:dyDescent="0.2">
      <c r="B12" s="105"/>
      <c r="C12" s="24"/>
      <c r="D12" s="36"/>
      <c r="E12" s="24"/>
      <c r="F12" s="77" t="str">
        <f t="shared" si="0"/>
        <v/>
      </c>
      <c r="G12" s="24"/>
      <c r="I12" s="78">
        <f t="shared" ref="I12:I75" si="2">IF(B12="",0,1)</f>
        <v>0</v>
      </c>
      <c r="J12" s="78">
        <f t="shared" ref="J12:J75" si="3">IF(C12="",0,1)</f>
        <v>0</v>
      </c>
      <c r="K12" s="78">
        <f t="shared" ref="K12:K75" si="4">IF(D12="",0,1)</f>
        <v>0</v>
      </c>
      <c r="L12" s="78">
        <f t="shared" ref="L12:L75" si="5">IF(E12="",0,1)</f>
        <v>0</v>
      </c>
      <c r="M12" s="78">
        <f t="shared" ref="M12:M75" si="6">IF(F12="",0,1)</f>
        <v>0</v>
      </c>
      <c r="N12" s="78">
        <f t="shared" ref="N12:N75" si="7">IF(G12="",0,1)</f>
        <v>0</v>
      </c>
      <c r="O12" s="79">
        <f t="shared" ref="O12:O75" si="8">SUM(I12:N12)</f>
        <v>0</v>
      </c>
      <c r="AG12" s="1"/>
    </row>
    <row r="13" spans="2:45" s="61" customFormat="1" ht="19" customHeight="1" x14ac:dyDescent="0.2">
      <c r="B13" s="105"/>
      <c r="C13" s="24"/>
      <c r="D13" s="36"/>
      <c r="E13" s="24"/>
      <c r="F13" s="77" t="str">
        <f t="shared" si="0"/>
        <v/>
      </c>
      <c r="G13" s="24"/>
      <c r="I13" s="78">
        <f t="shared" si="2"/>
        <v>0</v>
      </c>
      <c r="J13" s="78">
        <f t="shared" si="3"/>
        <v>0</v>
      </c>
      <c r="K13" s="78">
        <f t="shared" si="4"/>
        <v>0</v>
      </c>
      <c r="L13" s="78">
        <f t="shared" si="5"/>
        <v>0</v>
      </c>
      <c r="M13" s="78">
        <f t="shared" si="6"/>
        <v>0</v>
      </c>
      <c r="N13" s="78">
        <f t="shared" si="7"/>
        <v>0</v>
      </c>
      <c r="O13" s="79">
        <f t="shared" si="8"/>
        <v>0</v>
      </c>
    </row>
    <row r="14" spans="2:45" s="61" customFormat="1" ht="19" customHeight="1" x14ac:dyDescent="0.2">
      <c r="B14" s="105"/>
      <c r="C14" s="24"/>
      <c r="D14" s="36"/>
      <c r="E14" s="24"/>
      <c r="F14" s="77" t="str">
        <f t="shared" si="0"/>
        <v/>
      </c>
      <c r="G14" s="24"/>
      <c r="I14" s="78">
        <f t="shared" si="2"/>
        <v>0</v>
      </c>
      <c r="J14" s="78">
        <f t="shared" si="3"/>
        <v>0</v>
      </c>
      <c r="K14" s="78">
        <f t="shared" si="4"/>
        <v>0</v>
      </c>
      <c r="L14" s="78">
        <f t="shared" si="5"/>
        <v>0</v>
      </c>
      <c r="M14" s="78">
        <f t="shared" si="6"/>
        <v>0</v>
      </c>
      <c r="N14" s="78">
        <f t="shared" si="7"/>
        <v>0</v>
      </c>
      <c r="O14" s="79">
        <f t="shared" si="8"/>
        <v>0</v>
      </c>
    </row>
    <row r="15" spans="2:45" s="61" customFormat="1" ht="19" customHeight="1" x14ac:dyDescent="0.2">
      <c r="B15" s="105"/>
      <c r="C15" s="24"/>
      <c r="D15" s="36"/>
      <c r="E15" s="24"/>
      <c r="F15" s="77" t="str">
        <f t="shared" si="0"/>
        <v/>
      </c>
      <c r="G15" s="24"/>
      <c r="I15" s="78">
        <f t="shared" si="2"/>
        <v>0</v>
      </c>
      <c r="J15" s="78">
        <f t="shared" si="3"/>
        <v>0</v>
      </c>
      <c r="K15" s="78">
        <f t="shared" si="4"/>
        <v>0</v>
      </c>
      <c r="L15" s="78">
        <f t="shared" si="5"/>
        <v>0</v>
      </c>
      <c r="M15" s="78">
        <f t="shared" si="6"/>
        <v>0</v>
      </c>
      <c r="N15" s="78">
        <f t="shared" si="7"/>
        <v>0</v>
      </c>
      <c r="O15" s="79">
        <f t="shared" si="8"/>
        <v>0</v>
      </c>
    </row>
    <row r="16" spans="2:45" s="61" customFormat="1" ht="19" customHeight="1" x14ac:dyDescent="0.2">
      <c r="B16" s="105"/>
      <c r="C16" s="24"/>
      <c r="D16" s="36"/>
      <c r="E16" s="24"/>
      <c r="F16" s="77" t="str">
        <f t="shared" si="0"/>
        <v/>
      </c>
      <c r="G16" s="24"/>
      <c r="I16" s="78">
        <f t="shared" si="2"/>
        <v>0</v>
      </c>
      <c r="J16" s="78">
        <f t="shared" si="3"/>
        <v>0</v>
      </c>
      <c r="K16" s="78">
        <f t="shared" si="4"/>
        <v>0</v>
      </c>
      <c r="L16" s="78">
        <f t="shared" si="5"/>
        <v>0</v>
      </c>
      <c r="M16" s="78">
        <f t="shared" si="6"/>
        <v>0</v>
      </c>
      <c r="N16" s="78">
        <f t="shared" si="7"/>
        <v>0</v>
      </c>
      <c r="O16" s="79">
        <f t="shared" si="8"/>
        <v>0</v>
      </c>
    </row>
    <row r="17" spans="2:15" s="61" customFormat="1" ht="19" customHeight="1" x14ac:dyDescent="0.2">
      <c r="B17" s="105"/>
      <c r="C17" s="24"/>
      <c r="D17" s="36"/>
      <c r="E17" s="24"/>
      <c r="F17" s="77" t="str">
        <f t="shared" si="0"/>
        <v/>
      </c>
      <c r="G17" s="24"/>
      <c r="I17" s="78">
        <f t="shared" si="2"/>
        <v>0</v>
      </c>
      <c r="J17" s="78">
        <f t="shared" si="3"/>
        <v>0</v>
      </c>
      <c r="K17" s="78">
        <f t="shared" si="4"/>
        <v>0</v>
      </c>
      <c r="L17" s="78">
        <f t="shared" si="5"/>
        <v>0</v>
      </c>
      <c r="M17" s="78">
        <f t="shared" si="6"/>
        <v>0</v>
      </c>
      <c r="N17" s="78">
        <f t="shared" si="7"/>
        <v>0</v>
      </c>
      <c r="O17" s="79">
        <f t="shared" si="8"/>
        <v>0</v>
      </c>
    </row>
    <row r="18" spans="2:15" s="61" customFormat="1" ht="19" customHeight="1" x14ac:dyDescent="0.2">
      <c r="B18" s="105"/>
      <c r="C18" s="24"/>
      <c r="D18" s="36"/>
      <c r="E18" s="24"/>
      <c r="F18" s="77" t="str">
        <f t="shared" si="0"/>
        <v/>
      </c>
      <c r="G18" s="24"/>
      <c r="I18" s="78">
        <f t="shared" si="2"/>
        <v>0</v>
      </c>
      <c r="J18" s="78">
        <f t="shared" si="3"/>
        <v>0</v>
      </c>
      <c r="K18" s="78">
        <f t="shared" si="4"/>
        <v>0</v>
      </c>
      <c r="L18" s="78">
        <f t="shared" si="5"/>
        <v>0</v>
      </c>
      <c r="M18" s="78">
        <f t="shared" si="6"/>
        <v>0</v>
      </c>
      <c r="N18" s="78">
        <f t="shared" si="7"/>
        <v>0</v>
      </c>
      <c r="O18" s="79">
        <f t="shared" si="8"/>
        <v>0</v>
      </c>
    </row>
    <row r="19" spans="2:15" s="61" customFormat="1" ht="19" customHeight="1" x14ac:dyDescent="0.2">
      <c r="B19" s="105"/>
      <c r="C19" s="24"/>
      <c r="D19" s="36"/>
      <c r="E19" s="24"/>
      <c r="F19" s="77" t="str">
        <f t="shared" si="0"/>
        <v/>
      </c>
      <c r="G19" s="24"/>
      <c r="I19" s="78">
        <f t="shared" si="2"/>
        <v>0</v>
      </c>
      <c r="J19" s="78">
        <f t="shared" si="3"/>
        <v>0</v>
      </c>
      <c r="K19" s="78">
        <f t="shared" si="4"/>
        <v>0</v>
      </c>
      <c r="L19" s="78">
        <f t="shared" si="5"/>
        <v>0</v>
      </c>
      <c r="M19" s="78">
        <f t="shared" si="6"/>
        <v>0</v>
      </c>
      <c r="N19" s="78">
        <f t="shared" si="7"/>
        <v>0</v>
      </c>
      <c r="O19" s="79">
        <f t="shared" si="8"/>
        <v>0</v>
      </c>
    </row>
    <row r="20" spans="2:15" s="61" customFormat="1" ht="19" customHeight="1" x14ac:dyDescent="0.2">
      <c r="B20" s="104"/>
      <c r="C20" s="24"/>
      <c r="D20" s="36"/>
      <c r="E20" s="24"/>
      <c r="F20" s="77" t="str">
        <f t="shared" si="0"/>
        <v/>
      </c>
      <c r="G20" s="24"/>
      <c r="I20" s="78">
        <f t="shared" si="2"/>
        <v>0</v>
      </c>
      <c r="J20" s="78">
        <f t="shared" si="3"/>
        <v>0</v>
      </c>
      <c r="K20" s="78">
        <f t="shared" si="4"/>
        <v>0</v>
      </c>
      <c r="L20" s="78">
        <f t="shared" si="5"/>
        <v>0</v>
      </c>
      <c r="M20" s="78">
        <f t="shared" si="6"/>
        <v>0</v>
      </c>
      <c r="N20" s="78">
        <f t="shared" si="7"/>
        <v>0</v>
      </c>
      <c r="O20" s="79">
        <f t="shared" si="8"/>
        <v>0</v>
      </c>
    </row>
    <row r="21" spans="2:15" s="61" customFormat="1" ht="19" customHeight="1" x14ac:dyDescent="0.2">
      <c r="B21" s="105"/>
      <c r="C21" s="24"/>
      <c r="D21" s="36"/>
      <c r="E21" s="24"/>
      <c r="F21" s="77" t="str">
        <f t="shared" si="0"/>
        <v/>
      </c>
      <c r="G21" s="24"/>
      <c r="I21" s="78">
        <f t="shared" si="2"/>
        <v>0</v>
      </c>
      <c r="J21" s="78">
        <f t="shared" si="3"/>
        <v>0</v>
      </c>
      <c r="K21" s="78">
        <f t="shared" si="4"/>
        <v>0</v>
      </c>
      <c r="L21" s="78">
        <f t="shared" si="5"/>
        <v>0</v>
      </c>
      <c r="M21" s="78">
        <f t="shared" si="6"/>
        <v>0</v>
      </c>
      <c r="N21" s="78">
        <f t="shared" si="7"/>
        <v>0</v>
      </c>
      <c r="O21" s="79">
        <f t="shared" si="8"/>
        <v>0</v>
      </c>
    </row>
    <row r="22" spans="2:15" s="61" customFormat="1" ht="19" customHeight="1" x14ac:dyDescent="0.2">
      <c r="B22" s="105"/>
      <c r="C22" s="24"/>
      <c r="D22" s="36"/>
      <c r="E22" s="24"/>
      <c r="F22" s="77" t="str">
        <f t="shared" si="0"/>
        <v/>
      </c>
      <c r="G22" s="24"/>
      <c r="I22" s="78">
        <f t="shared" si="2"/>
        <v>0</v>
      </c>
      <c r="J22" s="78">
        <f t="shared" si="3"/>
        <v>0</v>
      </c>
      <c r="K22" s="78">
        <f t="shared" si="4"/>
        <v>0</v>
      </c>
      <c r="L22" s="78">
        <f t="shared" si="5"/>
        <v>0</v>
      </c>
      <c r="M22" s="78">
        <f t="shared" si="6"/>
        <v>0</v>
      </c>
      <c r="N22" s="78">
        <f t="shared" si="7"/>
        <v>0</v>
      </c>
      <c r="O22" s="79">
        <f t="shared" si="8"/>
        <v>0</v>
      </c>
    </row>
    <row r="23" spans="2:15" s="61" customFormat="1" ht="19" customHeight="1" x14ac:dyDescent="0.2">
      <c r="B23" s="105"/>
      <c r="C23" s="24"/>
      <c r="D23" s="36"/>
      <c r="E23" s="24"/>
      <c r="F23" s="77" t="str">
        <f t="shared" si="0"/>
        <v/>
      </c>
      <c r="G23" s="24"/>
      <c r="I23" s="78">
        <f t="shared" si="2"/>
        <v>0</v>
      </c>
      <c r="J23" s="78">
        <f t="shared" si="3"/>
        <v>0</v>
      </c>
      <c r="K23" s="78">
        <f t="shared" si="4"/>
        <v>0</v>
      </c>
      <c r="L23" s="78">
        <f t="shared" si="5"/>
        <v>0</v>
      </c>
      <c r="M23" s="78">
        <f t="shared" si="6"/>
        <v>0</v>
      </c>
      <c r="N23" s="78">
        <f t="shared" si="7"/>
        <v>0</v>
      </c>
      <c r="O23" s="79">
        <f t="shared" si="8"/>
        <v>0</v>
      </c>
    </row>
    <row r="24" spans="2:15" s="61" customFormat="1" ht="19" customHeight="1" x14ac:dyDescent="0.2">
      <c r="B24" s="105"/>
      <c r="C24" s="24"/>
      <c r="D24" s="36"/>
      <c r="E24" s="24"/>
      <c r="F24" s="77" t="str">
        <f t="shared" si="0"/>
        <v/>
      </c>
      <c r="G24" s="24"/>
      <c r="I24" s="78">
        <f t="shared" si="2"/>
        <v>0</v>
      </c>
      <c r="J24" s="78">
        <f t="shared" si="3"/>
        <v>0</v>
      </c>
      <c r="K24" s="78">
        <f t="shared" si="4"/>
        <v>0</v>
      </c>
      <c r="L24" s="78">
        <f t="shared" si="5"/>
        <v>0</v>
      </c>
      <c r="M24" s="78">
        <f t="shared" si="6"/>
        <v>0</v>
      </c>
      <c r="N24" s="78">
        <f t="shared" si="7"/>
        <v>0</v>
      </c>
      <c r="O24" s="79">
        <f t="shared" si="8"/>
        <v>0</v>
      </c>
    </row>
    <row r="25" spans="2:15" s="61" customFormat="1" ht="19" customHeight="1" x14ac:dyDescent="0.2">
      <c r="B25" s="105"/>
      <c r="C25" s="24"/>
      <c r="D25" s="36"/>
      <c r="E25" s="24"/>
      <c r="F25" s="77" t="str">
        <f t="shared" si="0"/>
        <v/>
      </c>
      <c r="G25" s="24"/>
      <c r="I25" s="78">
        <f t="shared" si="2"/>
        <v>0</v>
      </c>
      <c r="J25" s="78">
        <f t="shared" si="3"/>
        <v>0</v>
      </c>
      <c r="K25" s="78">
        <f t="shared" si="4"/>
        <v>0</v>
      </c>
      <c r="L25" s="78">
        <f t="shared" si="5"/>
        <v>0</v>
      </c>
      <c r="M25" s="78">
        <f t="shared" si="6"/>
        <v>0</v>
      </c>
      <c r="N25" s="78">
        <f t="shared" si="7"/>
        <v>0</v>
      </c>
      <c r="O25" s="79">
        <f t="shared" si="8"/>
        <v>0</v>
      </c>
    </row>
    <row r="26" spans="2:15" s="61" customFormat="1" ht="19" customHeight="1" x14ac:dyDescent="0.2">
      <c r="B26" s="104"/>
      <c r="C26" s="24"/>
      <c r="D26" s="36"/>
      <c r="E26" s="24"/>
      <c r="F26" s="77" t="str">
        <f t="shared" si="0"/>
        <v/>
      </c>
      <c r="G26" s="24"/>
      <c r="I26" s="78">
        <f t="shared" si="2"/>
        <v>0</v>
      </c>
      <c r="J26" s="78">
        <f t="shared" si="3"/>
        <v>0</v>
      </c>
      <c r="K26" s="78">
        <f t="shared" si="4"/>
        <v>0</v>
      </c>
      <c r="L26" s="78">
        <f t="shared" si="5"/>
        <v>0</v>
      </c>
      <c r="M26" s="78">
        <f t="shared" si="6"/>
        <v>0</v>
      </c>
      <c r="N26" s="78">
        <f t="shared" si="7"/>
        <v>0</v>
      </c>
      <c r="O26" s="79">
        <f t="shared" si="8"/>
        <v>0</v>
      </c>
    </row>
    <row r="27" spans="2:15" s="61" customFormat="1" ht="19" customHeight="1" x14ac:dyDescent="0.2">
      <c r="B27" s="105"/>
      <c r="C27" s="24"/>
      <c r="D27" s="36"/>
      <c r="E27" s="24"/>
      <c r="F27" s="77" t="str">
        <f t="shared" si="0"/>
        <v/>
      </c>
      <c r="G27" s="24"/>
      <c r="I27" s="78">
        <f t="shared" si="2"/>
        <v>0</v>
      </c>
      <c r="J27" s="78">
        <f t="shared" si="3"/>
        <v>0</v>
      </c>
      <c r="K27" s="78">
        <f t="shared" si="4"/>
        <v>0</v>
      </c>
      <c r="L27" s="78">
        <f t="shared" si="5"/>
        <v>0</v>
      </c>
      <c r="M27" s="78">
        <f t="shared" si="6"/>
        <v>0</v>
      </c>
      <c r="N27" s="78">
        <f t="shared" si="7"/>
        <v>0</v>
      </c>
      <c r="O27" s="79">
        <f t="shared" si="8"/>
        <v>0</v>
      </c>
    </row>
    <row r="28" spans="2:15" s="61" customFormat="1" ht="19" customHeight="1" x14ac:dyDescent="0.2">
      <c r="B28" s="105"/>
      <c r="C28" s="24"/>
      <c r="D28" s="36"/>
      <c r="E28" s="24"/>
      <c r="F28" s="77" t="str">
        <f t="shared" si="0"/>
        <v/>
      </c>
      <c r="G28" s="24"/>
      <c r="I28" s="78">
        <f t="shared" si="2"/>
        <v>0</v>
      </c>
      <c r="J28" s="78">
        <f t="shared" si="3"/>
        <v>0</v>
      </c>
      <c r="K28" s="78">
        <f t="shared" si="4"/>
        <v>0</v>
      </c>
      <c r="L28" s="78">
        <f t="shared" si="5"/>
        <v>0</v>
      </c>
      <c r="M28" s="78">
        <f t="shared" si="6"/>
        <v>0</v>
      </c>
      <c r="N28" s="78">
        <f t="shared" si="7"/>
        <v>0</v>
      </c>
      <c r="O28" s="79">
        <f t="shared" si="8"/>
        <v>0</v>
      </c>
    </row>
    <row r="29" spans="2:15" s="61" customFormat="1" ht="19" customHeight="1" x14ac:dyDescent="0.2">
      <c r="B29" s="105"/>
      <c r="C29" s="24"/>
      <c r="D29" s="36"/>
      <c r="E29" s="24"/>
      <c r="F29" s="77" t="str">
        <f t="shared" si="0"/>
        <v/>
      </c>
      <c r="G29" s="24"/>
      <c r="I29" s="78">
        <f t="shared" si="2"/>
        <v>0</v>
      </c>
      <c r="J29" s="78">
        <f t="shared" si="3"/>
        <v>0</v>
      </c>
      <c r="K29" s="78">
        <f t="shared" si="4"/>
        <v>0</v>
      </c>
      <c r="L29" s="78">
        <f t="shared" si="5"/>
        <v>0</v>
      </c>
      <c r="M29" s="78">
        <f t="shared" si="6"/>
        <v>0</v>
      </c>
      <c r="N29" s="78">
        <f t="shared" si="7"/>
        <v>0</v>
      </c>
      <c r="O29" s="79">
        <f t="shared" si="8"/>
        <v>0</v>
      </c>
    </row>
    <row r="30" spans="2:15" s="61" customFormat="1" ht="19" customHeight="1" x14ac:dyDescent="0.2">
      <c r="B30" s="105"/>
      <c r="C30" s="24"/>
      <c r="D30" s="36"/>
      <c r="E30" s="24"/>
      <c r="F30" s="77" t="str">
        <f t="shared" si="0"/>
        <v/>
      </c>
      <c r="G30" s="24"/>
      <c r="I30" s="78">
        <f t="shared" si="2"/>
        <v>0</v>
      </c>
      <c r="J30" s="78">
        <f t="shared" si="3"/>
        <v>0</v>
      </c>
      <c r="K30" s="78">
        <f t="shared" si="4"/>
        <v>0</v>
      </c>
      <c r="L30" s="78">
        <f t="shared" si="5"/>
        <v>0</v>
      </c>
      <c r="M30" s="78">
        <f t="shared" si="6"/>
        <v>0</v>
      </c>
      <c r="N30" s="78">
        <f t="shared" si="7"/>
        <v>0</v>
      </c>
      <c r="O30" s="79">
        <f t="shared" si="8"/>
        <v>0</v>
      </c>
    </row>
    <row r="31" spans="2:15" s="61" customFormat="1" ht="19" customHeight="1" x14ac:dyDescent="0.2">
      <c r="B31" s="105"/>
      <c r="C31" s="24"/>
      <c r="D31" s="36"/>
      <c r="E31" s="24"/>
      <c r="F31" s="77" t="str">
        <f t="shared" si="0"/>
        <v/>
      </c>
      <c r="G31" s="24"/>
      <c r="I31" s="78">
        <f t="shared" si="2"/>
        <v>0</v>
      </c>
      <c r="J31" s="78">
        <f t="shared" si="3"/>
        <v>0</v>
      </c>
      <c r="K31" s="78">
        <f t="shared" si="4"/>
        <v>0</v>
      </c>
      <c r="L31" s="78">
        <f t="shared" si="5"/>
        <v>0</v>
      </c>
      <c r="M31" s="78">
        <f t="shared" si="6"/>
        <v>0</v>
      </c>
      <c r="N31" s="78">
        <f t="shared" si="7"/>
        <v>0</v>
      </c>
      <c r="O31" s="79">
        <f t="shared" si="8"/>
        <v>0</v>
      </c>
    </row>
    <row r="32" spans="2:15" s="61" customFormat="1" ht="19" customHeight="1" x14ac:dyDescent="0.2">
      <c r="B32" s="105"/>
      <c r="C32" s="24"/>
      <c r="D32" s="36"/>
      <c r="E32" s="24"/>
      <c r="F32" s="77" t="str">
        <f t="shared" si="0"/>
        <v/>
      </c>
      <c r="G32" s="24"/>
      <c r="I32" s="78">
        <f t="shared" si="2"/>
        <v>0</v>
      </c>
      <c r="J32" s="78">
        <f t="shared" si="3"/>
        <v>0</v>
      </c>
      <c r="K32" s="78">
        <f t="shared" si="4"/>
        <v>0</v>
      </c>
      <c r="L32" s="78">
        <f t="shared" si="5"/>
        <v>0</v>
      </c>
      <c r="M32" s="78">
        <f t="shared" si="6"/>
        <v>0</v>
      </c>
      <c r="N32" s="78">
        <f t="shared" si="7"/>
        <v>0</v>
      </c>
      <c r="O32" s="79">
        <f t="shared" si="8"/>
        <v>0</v>
      </c>
    </row>
    <row r="33" spans="2:15" s="61" customFormat="1" ht="19" customHeight="1" x14ac:dyDescent="0.2">
      <c r="B33" s="105"/>
      <c r="C33" s="24"/>
      <c r="D33" s="36"/>
      <c r="E33" s="24"/>
      <c r="F33" s="77" t="str">
        <f t="shared" si="0"/>
        <v/>
      </c>
      <c r="G33" s="24"/>
      <c r="I33" s="78">
        <f t="shared" si="2"/>
        <v>0</v>
      </c>
      <c r="J33" s="78">
        <f t="shared" si="3"/>
        <v>0</v>
      </c>
      <c r="K33" s="78">
        <f t="shared" si="4"/>
        <v>0</v>
      </c>
      <c r="L33" s="78">
        <f t="shared" si="5"/>
        <v>0</v>
      </c>
      <c r="M33" s="78">
        <f t="shared" si="6"/>
        <v>0</v>
      </c>
      <c r="N33" s="78">
        <f t="shared" si="7"/>
        <v>0</v>
      </c>
      <c r="O33" s="79">
        <f t="shared" si="8"/>
        <v>0</v>
      </c>
    </row>
    <row r="34" spans="2:15" s="61" customFormat="1" ht="19" customHeight="1" x14ac:dyDescent="0.2">
      <c r="B34" s="104"/>
      <c r="C34" s="24"/>
      <c r="D34" s="36"/>
      <c r="E34" s="24"/>
      <c r="F34" s="77" t="str">
        <f t="shared" si="0"/>
        <v/>
      </c>
      <c r="G34" s="24"/>
      <c r="I34" s="78">
        <f t="shared" si="2"/>
        <v>0</v>
      </c>
      <c r="J34" s="78">
        <f t="shared" si="3"/>
        <v>0</v>
      </c>
      <c r="K34" s="78">
        <f t="shared" si="4"/>
        <v>0</v>
      </c>
      <c r="L34" s="78">
        <f t="shared" si="5"/>
        <v>0</v>
      </c>
      <c r="M34" s="78">
        <f t="shared" si="6"/>
        <v>0</v>
      </c>
      <c r="N34" s="78">
        <f t="shared" si="7"/>
        <v>0</v>
      </c>
      <c r="O34" s="79">
        <f t="shared" si="8"/>
        <v>0</v>
      </c>
    </row>
    <row r="35" spans="2:15" s="61" customFormat="1" ht="19" customHeight="1" x14ac:dyDescent="0.2">
      <c r="B35" s="105"/>
      <c r="C35" s="24"/>
      <c r="D35" s="36"/>
      <c r="E35" s="24"/>
      <c r="F35" s="77" t="str">
        <f t="shared" si="0"/>
        <v/>
      </c>
      <c r="G35" s="24"/>
      <c r="I35" s="78">
        <f t="shared" si="2"/>
        <v>0</v>
      </c>
      <c r="J35" s="78">
        <f t="shared" si="3"/>
        <v>0</v>
      </c>
      <c r="K35" s="78">
        <f t="shared" si="4"/>
        <v>0</v>
      </c>
      <c r="L35" s="78">
        <f t="shared" si="5"/>
        <v>0</v>
      </c>
      <c r="M35" s="78">
        <f t="shared" si="6"/>
        <v>0</v>
      </c>
      <c r="N35" s="78">
        <f t="shared" si="7"/>
        <v>0</v>
      </c>
      <c r="O35" s="79">
        <f t="shared" si="8"/>
        <v>0</v>
      </c>
    </row>
    <row r="36" spans="2:15" s="61" customFormat="1" ht="19" customHeight="1" x14ac:dyDescent="0.2">
      <c r="B36" s="105"/>
      <c r="C36" s="24"/>
      <c r="D36" s="36"/>
      <c r="E36" s="24"/>
      <c r="F36" s="77" t="str">
        <f t="shared" si="0"/>
        <v/>
      </c>
      <c r="G36" s="24"/>
      <c r="I36" s="78">
        <f t="shared" si="2"/>
        <v>0</v>
      </c>
      <c r="J36" s="78">
        <f t="shared" si="3"/>
        <v>0</v>
      </c>
      <c r="K36" s="78">
        <f t="shared" si="4"/>
        <v>0</v>
      </c>
      <c r="L36" s="78">
        <f t="shared" si="5"/>
        <v>0</v>
      </c>
      <c r="M36" s="78">
        <f t="shared" si="6"/>
        <v>0</v>
      </c>
      <c r="N36" s="78">
        <f t="shared" si="7"/>
        <v>0</v>
      </c>
      <c r="O36" s="79">
        <f t="shared" si="8"/>
        <v>0</v>
      </c>
    </row>
    <row r="37" spans="2:15" s="61" customFormat="1" ht="19" customHeight="1" x14ac:dyDescent="0.2">
      <c r="B37" s="105"/>
      <c r="C37" s="24"/>
      <c r="D37" s="36"/>
      <c r="E37" s="24"/>
      <c r="F37" s="77" t="str">
        <f t="shared" si="0"/>
        <v/>
      </c>
      <c r="G37" s="24"/>
      <c r="I37" s="78">
        <f t="shared" si="2"/>
        <v>0</v>
      </c>
      <c r="J37" s="78">
        <f t="shared" si="3"/>
        <v>0</v>
      </c>
      <c r="K37" s="78">
        <f t="shared" si="4"/>
        <v>0</v>
      </c>
      <c r="L37" s="78">
        <f t="shared" si="5"/>
        <v>0</v>
      </c>
      <c r="M37" s="78">
        <f t="shared" si="6"/>
        <v>0</v>
      </c>
      <c r="N37" s="78">
        <f t="shared" si="7"/>
        <v>0</v>
      </c>
      <c r="O37" s="79">
        <f t="shared" si="8"/>
        <v>0</v>
      </c>
    </row>
    <row r="38" spans="2:15" s="61" customFormat="1" ht="19" customHeight="1" x14ac:dyDescent="0.2">
      <c r="B38" s="105"/>
      <c r="C38" s="24"/>
      <c r="D38" s="36"/>
      <c r="E38" s="24"/>
      <c r="F38" s="77" t="str">
        <f t="shared" si="0"/>
        <v/>
      </c>
      <c r="G38" s="24"/>
      <c r="I38" s="78">
        <f t="shared" si="2"/>
        <v>0</v>
      </c>
      <c r="J38" s="78">
        <f t="shared" si="3"/>
        <v>0</v>
      </c>
      <c r="K38" s="78">
        <f t="shared" si="4"/>
        <v>0</v>
      </c>
      <c r="L38" s="78">
        <f t="shared" si="5"/>
        <v>0</v>
      </c>
      <c r="M38" s="78">
        <f t="shared" si="6"/>
        <v>0</v>
      </c>
      <c r="N38" s="78">
        <f t="shared" si="7"/>
        <v>0</v>
      </c>
      <c r="O38" s="79">
        <f t="shared" si="8"/>
        <v>0</v>
      </c>
    </row>
    <row r="39" spans="2:15" s="61" customFormat="1" ht="19" customHeight="1" x14ac:dyDescent="0.2">
      <c r="B39" s="24"/>
      <c r="C39" s="24"/>
      <c r="D39" s="36"/>
      <c r="E39" s="24"/>
      <c r="F39" s="77" t="str">
        <f t="shared" si="0"/>
        <v/>
      </c>
      <c r="G39" s="24"/>
      <c r="I39" s="78">
        <f t="shared" si="2"/>
        <v>0</v>
      </c>
      <c r="J39" s="78">
        <f t="shared" si="3"/>
        <v>0</v>
      </c>
      <c r="K39" s="78">
        <f t="shared" si="4"/>
        <v>0</v>
      </c>
      <c r="L39" s="78">
        <f t="shared" si="5"/>
        <v>0</v>
      </c>
      <c r="M39" s="78">
        <f t="shared" si="6"/>
        <v>0</v>
      </c>
      <c r="N39" s="78">
        <f t="shared" si="7"/>
        <v>0</v>
      </c>
      <c r="O39" s="79">
        <f t="shared" si="8"/>
        <v>0</v>
      </c>
    </row>
    <row r="40" spans="2:15" s="61" customFormat="1" ht="19" customHeight="1" x14ac:dyDescent="0.2">
      <c r="B40" s="24"/>
      <c r="C40" s="24"/>
      <c r="D40" s="36"/>
      <c r="E40" s="24"/>
      <c r="F40" s="77" t="str">
        <f t="shared" si="0"/>
        <v/>
      </c>
      <c r="G40" s="24"/>
      <c r="I40" s="78">
        <f t="shared" si="2"/>
        <v>0</v>
      </c>
      <c r="J40" s="78">
        <f t="shared" si="3"/>
        <v>0</v>
      </c>
      <c r="K40" s="78">
        <f t="shared" si="4"/>
        <v>0</v>
      </c>
      <c r="L40" s="78">
        <f t="shared" si="5"/>
        <v>0</v>
      </c>
      <c r="M40" s="78">
        <f t="shared" si="6"/>
        <v>0</v>
      </c>
      <c r="N40" s="78">
        <f t="shared" si="7"/>
        <v>0</v>
      </c>
      <c r="O40" s="79">
        <f t="shared" si="8"/>
        <v>0</v>
      </c>
    </row>
    <row r="41" spans="2:15" s="61" customFormat="1" ht="19" customHeight="1" x14ac:dyDescent="0.2">
      <c r="B41" s="24"/>
      <c r="C41" s="24"/>
      <c r="D41" s="36"/>
      <c r="E41" s="24"/>
      <c r="F41" s="77" t="str">
        <f t="shared" si="0"/>
        <v/>
      </c>
      <c r="G41" s="24"/>
      <c r="I41" s="78">
        <f t="shared" si="2"/>
        <v>0</v>
      </c>
      <c r="J41" s="78">
        <f t="shared" si="3"/>
        <v>0</v>
      </c>
      <c r="K41" s="78">
        <f t="shared" si="4"/>
        <v>0</v>
      </c>
      <c r="L41" s="78">
        <f t="shared" si="5"/>
        <v>0</v>
      </c>
      <c r="M41" s="78">
        <f t="shared" si="6"/>
        <v>0</v>
      </c>
      <c r="N41" s="78">
        <f t="shared" si="7"/>
        <v>0</v>
      </c>
      <c r="O41" s="79">
        <f t="shared" si="8"/>
        <v>0</v>
      </c>
    </row>
    <row r="42" spans="2:15" s="61" customFormat="1" ht="19" customHeight="1" x14ac:dyDescent="0.2">
      <c r="B42" s="24"/>
      <c r="C42" s="24"/>
      <c r="D42" s="36"/>
      <c r="E42" s="24"/>
      <c r="F42" s="77" t="str">
        <f t="shared" si="0"/>
        <v/>
      </c>
      <c r="G42" s="24"/>
      <c r="I42" s="78">
        <f t="shared" si="2"/>
        <v>0</v>
      </c>
      <c r="J42" s="78">
        <f t="shared" si="3"/>
        <v>0</v>
      </c>
      <c r="K42" s="78">
        <f t="shared" si="4"/>
        <v>0</v>
      </c>
      <c r="L42" s="78">
        <f t="shared" si="5"/>
        <v>0</v>
      </c>
      <c r="M42" s="78">
        <f t="shared" si="6"/>
        <v>0</v>
      </c>
      <c r="N42" s="78">
        <f t="shared" si="7"/>
        <v>0</v>
      </c>
      <c r="O42" s="79">
        <f t="shared" si="8"/>
        <v>0</v>
      </c>
    </row>
    <row r="43" spans="2:15" s="61" customFormat="1" ht="19" customHeight="1" x14ac:dyDescent="0.2">
      <c r="B43" s="24"/>
      <c r="C43" s="24"/>
      <c r="D43" s="36"/>
      <c r="E43" s="24"/>
      <c r="F43" s="77" t="str">
        <f t="shared" si="0"/>
        <v/>
      </c>
      <c r="G43" s="24"/>
      <c r="I43" s="78">
        <f t="shared" si="2"/>
        <v>0</v>
      </c>
      <c r="J43" s="78">
        <f t="shared" si="3"/>
        <v>0</v>
      </c>
      <c r="K43" s="78">
        <f t="shared" si="4"/>
        <v>0</v>
      </c>
      <c r="L43" s="78">
        <f t="shared" si="5"/>
        <v>0</v>
      </c>
      <c r="M43" s="78">
        <f t="shared" si="6"/>
        <v>0</v>
      </c>
      <c r="N43" s="78">
        <f t="shared" si="7"/>
        <v>0</v>
      </c>
      <c r="O43" s="79">
        <f t="shared" si="8"/>
        <v>0</v>
      </c>
    </row>
    <row r="44" spans="2:15" s="61" customFormat="1" ht="19" customHeight="1" x14ac:dyDescent="0.2">
      <c r="B44" s="24"/>
      <c r="C44" s="24"/>
      <c r="D44" s="36"/>
      <c r="E44" s="24"/>
      <c r="F44" s="77" t="str">
        <f t="shared" si="0"/>
        <v/>
      </c>
      <c r="G44" s="24"/>
      <c r="I44" s="78">
        <f t="shared" si="2"/>
        <v>0</v>
      </c>
      <c r="J44" s="78">
        <f t="shared" si="3"/>
        <v>0</v>
      </c>
      <c r="K44" s="78">
        <f t="shared" si="4"/>
        <v>0</v>
      </c>
      <c r="L44" s="78">
        <f t="shared" si="5"/>
        <v>0</v>
      </c>
      <c r="M44" s="78">
        <f t="shared" si="6"/>
        <v>0</v>
      </c>
      <c r="N44" s="78">
        <f t="shared" si="7"/>
        <v>0</v>
      </c>
      <c r="O44" s="79">
        <f t="shared" si="8"/>
        <v>0</v>
      </c>
    </row>
    <row r="45" spans="2:15" s="61" customFormat="1" ht="19" customHeight="1" x14ac:dyDescent="0.2">
      <c r="B45" s="24"/>
      <c r="C45" s="24"/>
      <c r="D45" s="36"/>
      <c r="E45" s="24"/>
      <c r="F45" s="77" t="str">
        <f t="shared" si="0"/>
        <v/>
      </c>
      <c r="G45" s="24"/>
      <c r="I45" s="78">
        <f t="shared" si="2"/>
        <v>0</v>
      </c>
      <c r="J45" s="78">
        <f t="shared" si="3"/>
        <v>0</v>
      </c>
      <c r="K45" s="78">
        <f t="shared" si="4"/>
        <v>0</v>
      </c>
      <c r="L45" s="78">
        <f t="shared" si="5"/>
        <v>0</v>
      </c>
      <c r="M45" s="78">
        <f t="shared" si="6"/>
        <v>0</v>
      </c>
      <c r="N45" s="78">
        <f t="shared" si="7"/>
        <v>0</v>
      </c>
      <c r="O45" s="79">
        <f t="shared" si="8"/>
        <v>0</v>
      </c>
    </row>
    <row r="46" spans="2:15" s="61" customFormat="1" ht="19" customHeight="1" x14ac:dyDescent="0.2">
      <c r="B46" s="24"/>
      <c r="C46" s="24"/>
      <c r="D46" s="36"/>
      <c r="E46" s="24"/>
      <c r="F46" s="77" t="str">
        <f t="shared" si="0"/>
        <v/>
      </c>
      <c r="G46" s="24"/>
      <c r="I46" s="78">
        <f t="shared" si="2"/>
        <v>0</v>
      </c>
      <c r="J46" s="78">
        <f t="shared" si="3"/>
        <v>0</v>
      </c>
      <c r="K46" s="78">
        <f t="shared" si="4"/>
        <v>0</v>
      </c>
      <c r="L46" s="78">
        <f t="shared" si="5"/>
        <v>0</v>
      </c>
      <c r="M46" s="78">
        <f t="shared" si="6"/>
        <v>0</v>
      </c>
      <c r="N46" s="78">
        <f t="shared" si="7"/>
        <v>0</v>
      </c>
      <c r="O46" s="79">
        <f t="shared" si="8"/>
        <v>0</v>
      </c>
    </row>
    <row r="47" spans="2:15" s="61" customFormat="1" ht="19" customHeight="1" x14ac:dyDescent="0.2">
      <c r="B47" s="24"/>
      <c r="C47" s="24"/>
      <c r="D47" s="36"/>
      <c r="E47" s="24"/>
      <c r="F47" s="77" t="str">
        <f t="shared" si="0"/>
        <v/>
      </c>
      <c r="G47" s="24"/>
      <c r="I47" s="78">
        <f t="shared" si="2"/>
        <v>0</v>
      </c>
      <c r="J47" s="78">
        <f t="shared" si="3"/>
        <v>0</v>
      </c>
      <c r="K47" s="78">
        <f t="shared" si="4"/>
        <v>0</v>
      </c>
      <c r="L47" s="78">
        <f t="shared" si="5"/>
        <v>0</v>
      </c>
      <c r="M47" s="78">
        <f t="shared" si="6"/>
        <v>0</v>
      </c>
      <c r="N47" s="78">
        <f t="shared" si="7"/>
        <v>0</v>
      </c>
      <c r="O47" s="79">
        <f t="shared" si="8"/>
        <v>0</v>
      </c>
    </row>
    <row r="48" spans="2:15" s="61" customFormat="1" ht="19" customHeight="1" x14ac:dyDescent="0.2">
      <c r="B48" s="24"/>
      <c r="C48" s="24"/>
      <c r="D48" s="36"/>
      <c r="E48" s="24"/>
      <c r="F48" s="77" t="str">
        <f t="shared" si="0"/>
        <v/>
      </c>
      <c r="G48" s="24"/>
      <c r="I48" s="78">
        <f t="shared" si="2"/>
        <v>0</v>
      </c>
      <c r="J48" s="78">
        <f t="shared" si="3"/>
        <v>0</v>
      </c>
      <c r="K48" s="78">
        <f t="shared" si="4"/>
        <v>0</v>
      </c>
      <c r="L48" s="78">
        <f t="shared" si="5"/>
        <v>0</v>
      </c>
      <c r="M48" s="78">
        <f t="shared" si="6"/>
        <v>0</v>
      </c>
      <c r="N48" s="78">
        <f t="shared" si="7"/>
        <v>0</v>
      </c>
      <c r="O48" s="79">
        <f t="shared" si="8"/>
        <v>0</v>
      </c>
    </row>
    <row r="49" spans="2:15" s="61" customFormat="1" ht="19" customHeight="1" x14ac:dyDescent="0.2">
      <c r="B49" s="24"/>
      <c r="C49" s="24"/>
      <c r="D49" s="36"/>
      <c r="E49" s="24"/>
      <c r="F49" s="77" t="str">
        <f t="shared" si="0"/>
        <v/>
      </c>
      <c r="G49" s="24"/>
      <c r="I49" s="78">
        <f t="shared" si="2"/>
        <v>0</v>
      </c>
      <c r="J49" s="78">
        <f t="shared" si="3"/>
        <v>0</v>
      </c>
      <c r="K49" s="78">
        <f t="shared" si="4"/>
        <v>0</v>
      </c>
      <c r="L49" s="78">
        <f t="shared" si="5"/>
        <v>0</v>
      </c>
      <c r="M49" s="78">
        <f t="shared" si="6"/>
        <v>0</v>
      </c>
      <c r="N49" s="78">
        <f t="shared" si="7"/>
        <v>0</v>
      </c>
      <c r="O49" s="79">
        <f t="shared" si="8"/>
        <v>0</v>
      </c>
    </row>
    <row r="50" spans="2:15" s="61" customFormat="1" ht="19" customHeight="1" x14ac:dyDescent="0.2">
      <c r="B50" s="24"/>
      <c r="C50" s="24"/>
      <c r="D50" s="36"/>
      <c r="E50" s="24"/>
      <c r="F50" s="77" t="str">
        <f t="shared" si="0"/>
        <v/>
      </c>
      <c r="G50" s="24"/>
      <c r="I50" s="78">
        <f t="shared" si="2"/>
        <v>0</v>
      </c>
      <c r="J50" s="78">
        <f t="shared" si="3"/>
        <v>0</v>
      </c>
      <c r="K50" s="78">
        <f t="shared" si="4"/>
        <v>0</v>
      </c>
      <c r="L50" s="78">
        <f t="shared" si="5"/>
        <v>0</v>
      </c>
      <c r="M50" s="78">
        <f t="shared" si="6"/>
        <v>0</v>
      </c>
      <c r="N50" s="78">
        <f t="shared" si="7"/>
        <v>0</v>
      </c>
      <c r="O50" s="79">
        <f t="shared" si="8"/>
        <v>0</v>
      </c>
    </row>
    <row r="51" spans="2:15" s="61" customFormat="1" ht="19" customHeight="1" x14ac:dyDescent="0.2">
      <c r="B51" s="24"/>
      <c r="C51" s="24"/>
      <c r="D51" s="36"/>
      <c r="E51" s="24"/>
      <c r="F51" s="77" t="str">
        <f t="shared" si="0"/>
        <v/>
      </c>
      <c r="G51" s="24"/>
      <c r="I51" s="78">
        <f t="shared" si="2"/>
        <v>0</v>
      </c>
      <c r="J51" s="78">
        <f t="shared" si="3"/>
        <v>0</v>
      </c>
      <c r="K51" s="78">
        <f t="shared" si="4"/>
        <v>0</v>
      </c>
      <c r="L51" s="78">
        <f t="shared" si="5"/>
        <v>0</v>
      </c>
      <c r="M51" s="78">
        <f t="shared" si="6"/>
        <v>0</v>
      </c>
      <c r="N51" s="78">
        <f t="shared" si="7"/>
        <v>0</v>
      </c>
      <c r="O51" s="79">
        <f t="shared" si="8"/>
        <v>0</v>
      </c>
    </row>
    <row r="52" spans="2:15" s="61" customFormat="1" ht="19" customHeight="1" x14ac:dyDescent="0.2">
      <c r="B52" s="24"/>
      <c r="C52" s="24"/>
      <c r="D52" s="36"/>
      <c r="E52" s="24"/>
      <c r="F52" s="77" t="str">
        <f t="shared" si="0"/>
        <v/>
      </c>
      <c r="G52" s="24"/>
      <c r="I52" s="78">
        <f t="shared" si="2"/>
        <v>0</v>
      </c>
      <c r="J52" s="78">
        <f t="shared" si="3"/>
        <v>0</v>
      </c>
      <c r="K52" s="78">
        <f t="shared" si="4"/>
        <v>0</v>
      </c>
      <c r="L52" s="78">
        <f t="shared" si="5"/>
        <v>0</v>
      </c>
      <c r="M52" s="78">
        <f t="shared" si="6"/>
        <v>0</v>
      </c>
      <c r="N52" s="78">
        <f t="shared" si="7"/>
        <v>0</v>
      </c>
      <c r="O52" s="79">
        <f t="shared" si="8"/>
        <v>0</v>
      </c>
    </row>
    <row r="53" spans="2:15" s="61" customFormat="1" ht="19" customHeight="1" x14ac:dyDescent="0.2">
      <c r="B53" s="24"/>
      <c r="C53" s="24"/>
      <c r="D53" s="36"/>
      <c r="E53" s="24"/>
      <c r="F53" s="77" t="str">
        <f t="shared" si="0"/>
        <v/>
      </c>
      <c r="G53" s="24"/>
      <c r="I53" s="78">
        <f t="shared" si="2"/>
        <v>0</v>
      </c>
      <c r="J53" s="78">
        <f t="shared" si="3"/>
        <v>0</v>
      </c>
      <c r="K53" s="78">
        <f t="shared" si="4"/>
        <v>0</v>
      </c>
      <c r="L53" s="78">
        <f t="shared" si="5"/>
        <v>0</v>
      </c>
      <c r="M53" s="78">
        <f t="shared" si="6"/>
        <v>0</v>
      </c>
      <c r="N53" s="78">
        <f t="shared" si="7"/>
        <v>0</v>
      </c>
      <c r="O53" s="79">
        <f t="shared" si="8"/>
        <v>0</v>
      </c>
    </row>
    <row r="54" spans="2:15" s="61" customFormat="1" ht="19" customHeight="1" x14ac:dyDescent="0.2">
      <c r="B54" s="24"/>
      <c r="C54" s="24"/>
      <c r="D54" s="36"/>
      <c r="E54" s="24"/>
      <c r="F54" s="77" t="str">
        <f t="shared" si="0"/>
        <v/>
      </c>
      <c r="G54" s="24"/>
      <c r="I54" s="78">
        <f t="shared" si="2"/>
        <v>0</v>
      </c>
      <c r="J54" s="78">
        <f t="shared" si="3"/>
        <v>0</v>
      </c>
      <c r="K54" s="78">
        <f t="shared" si="4"/>
        <v>0</v>
      </c>
      <c r="L54" s="78">
        <f t="shared" si="5"/>
        <v>0</v>
      </c>
      <c r="M54" s="78">
        <f t="shared" si="6"/>
        <v>0</v>
      </c>
      <c r="N54" s="78">
        <f t="shared" si="7"/>
        <v>0</v>
      </c>
      <c r="O54" s="79">
        <f t="shared" si="8"/>
        <v>0</v>
      </c>
    </row>
    <row r="55" spans="2:15" s="61" customFormat="1" ht="19" customHeight="1" x14ac:dyDescent="0.2">
      <c r="B55" s="24"/>
      <c r="C55" s="24"/>
      <c r="D55" s="36"/>
      <c r="E55" s="24"/>
      <c r="F55" s="77" t="str">
        <f t="shared" si="0"/>
        <v/>
      </c>
      <c r="G55" s="24"/>
      <c r="I55" s="78">
        <f t="shared" si="2"/>
        <v>0</v>
      </c>
      <c r="J55" s="78">
        <f t="shared" si="3"/>
        <v>0</v>
      </c>
      <c r="K55" s="78">
        <f t="shared" si="4"/>
        <v>0</v>
      </c>
      <c r="L55" s="78">
        <f t="shared" si="5"/>
        <v>0</v>
      </c>
      <c r="M55" s="78">
        <f t="shared" si="6"/>
        <v>0</v>
      </c>
      <c r="N55" s="78">
        <f t="shared" si="7"/>
        <v>0</v>
      </c>
      <c r="O55" s="79">
        <f t="shared" si="8"/>
        <v>0</v>
      </c>
    </row>
    <row r="56" spans="2:15" s="61" customFormat="1" ht="19" customHeight="1" x14ac:dyDescent="0.2">
      <c r="B56" s="24"/>
      <c r="C56" s="24"/>
      <c r="D56" s="36"/>
      <c r="E56" s="24"/>
      <c r="F56" s="77" t="str">
        <f t="shared" si="0"/>
        <v/>
      </c>
      <c r="G56" s="24"/>
      <c r="I56" s="78">
        <f t="shared" si="2"/>
        <v>0</v>
      </c>
      <c r="J56" s="78">
        <f t="shared" si="3"/>
        <v>0</v>
      </c>
      <c r="K56" s="78">
        <f t="shared" si="4"/>
        <v>0</v>
      </c>
      <c r="L56" s="78">
        <f t="shared" si="5"/>
        <v>0</v>
      </c>
      <c r="M56" s="78">
        <f t="shared" si="6"/>
        <v>0</v>
      </c>
      <c r="N56" s="78">
        <f t="shared" si="7"/>
        <v>0</v>
      </c>
      <c r="O56" s="79">
        <f t="shared" si="8"/>
        <v>0</v>
      </c>
    </row>
    <row r="57" spans="2:15" s="61" customFormat="1" ht="19" customHeight="1" x14ac:dyDescent="0.2">
      <c r="B57" s="24"/>
      <c r="C57" s="24"/>
      <c r="D57" s="36"/>
      <c r="E57" s="24"/>
      <c r="F57" s="77" t="str">
        <f t="shared" si="0"/>
        <v/>
      </c>
      <c r="G57" s="24"/>
      <c r="I57" s="78">
        <f t="shared" si="2"/>
        <v>0</v>
      </c>
      <c r="J57" s="78">
        <f t="shared" si="3"/>
        <v>0</v>
      </c>
      <c r="K57" s="78">
        <f t="shared" si="4"/>
        <v>0</v>
      </c>
      <c r="L57" s="78">
        <f t="shared" si="5"/>
        <v>0</v>
      </c>
      <c r="M57" s="78">
        <f t="shared" si="6"/>
        <v>0</v>
      </c>
      <c r="N57" s="78">
        <f t="shared" si="7"/>
        <v>0</v>
      </c>
      <c r="O57" s="79">
        <f t="shared" si="8"/>
        <v>0</v>
      </c>
    </row>
    <row r="58" spans="2:15" s="61" customFormat="1" ht="19" customHeight="1" x14ac:dyDescent="0.2">
      <c r="B58" s="24"/>
      <c r="C58" s="24"/>
      <c r="D58" s="36"/>
      <c r="E58" s="24"/>
      <c r="F58" s="77" t="str">
        <f t="shared" si="0"/>
        <v/>
      </c>
      <c r="G58" s="24"/>
      <c r="I58" s="78">
        <f t="shared" si="2"/>
        <v>0</v>
      </c>
      <c r="J58" s="78">
        <f t="shared" si="3"/>
        <v>0</v>
      </c>
      <c r="K58" s="78">
        <f t="shared" si="4"/>
        <v>0</v>
      </c>
      <c r="L58" s="78">
        <f t="shared" si="5"/>
        <v>0</v>
      </c>
      <c r="M58" s="78">
        <f t="shared" si="6"/>
        <v>0</v>
      </c>
      <c r="N58" s="78">
        <f t="shared" si="7"/>
        <v>0</v>
      </c>
      <c r="O58" s="79">
        <f t="shared" si="8"/>
        <v>0</v>
      </c>
    </row>
    <row r="59" spans="2:15" s="61" customFormat="1" ht="19" customHeight="1" x14ac:dyDescent="0.2">
      <c r="B59" s="24"/>
      <c r="C59" s="24"/>
      <c r="D59" s="36"/>
      <c r="E59" s="24"/>
      <c r="F59" s="77" t="str">
        <f t="shared" si="0"/>
        <v/>
      </c>
      <c r="G59" s="24"/>
      <c r="I59" s="78">
        <f t="shared" si="2"/>
        <v>0</v>
      </c>
      <c r="J59" s="78">
        <f t="shared" si="3"/>
        <v>0</v>
      </c>
      <c r="K59" s="78">
        <f t="shared" si="4"/>
        <v>0</v>
      </c>
      <c r="L59" s="78">
        <f t="shared" si="5"/>
        <v>0</v>
      </c>
      <c r="M59" s="78">
        <f t="shared" si="6"/>
        <v>0</v>
      </c>
      <c r="N59" s="78">
        <f t="shared" si="7"/>
        <v>0</v>
      </c>
      <c r="O59" s="79">
        <f t="shared" si="8"/>
        <v>0</v>
      </c>
    </row>
    <row r="60" spans="2:15" s="61" customFormat="1" ht="19" customHeight="1" x14ac:dyDescent="0.2">
      <c r="B60" s="24"/>
      <c r="C60" s="24"/>
      <c r="D60" s="36"/>
      <c r="E60" s="24"/>
      <c r="F60" s="77" t="str">
        <f t="shared" si="0"/>
        <v/>
      </c>
      <c r="G60" s="24"/>
      <c r="I60" s="78">
        <f t="shared" si="2"/>
        <v>0</v>
      </c>
      <c r="J60" s="78">
        <f t="shared" si="3"/>
        <v>0</v>
      </c>
      <c r="K60" s="78">
        <f t="shared" si="4"/>
        <v>0</v>
      </c>
      <c r="L60" s="78">
        <f t="shared" si="5"/>
        <v>0</v>
      </c>
      <c r="M60" s="78">
        <f t="shared" si="6"/>
        <v>0</v>
      </c>
      <c r="N60" s="78">
        <f t="shared" si="7"/>
        <v>0</v>
      </c>
      <c r="O60" s="79">
        <f t="shared" si="8"/>
        <v>0</v>
      </c>
    </row>
    <row r="61" spans="2:15" s="61" customFormat="1" ht="19" customHeight="1" x14ac:dyDescent="0.2">
      <c r="B61" s="24"/>
      <c r="C61" s="24"/>
      <c r="D61" s="36"/>
      <c r="E61" s="24"/>
      <c r="F61" s="77" t="str">
        <f t="shared" si="0"/>
        <v/>
      </c>
      <c r="G61" s="24"/>
      <c r="I61" s="78">
        <f t="shared" si="2"/>
        <v>0</v>
      </c>
      <c r="J61" s="78">
        <f t="shared" si="3"/>
        <v>0</v>
      </c>
      <c r="K61" s="78">
        <f t="shared" si="4"/>
        <v>0</v>
      </c>
      <c r="L61" s="78">
        <f t="shared" si="5"/>
        <v>0</v>
      </c>
      <c r="M61" s="78">
        <f t="shared" si="6"/>
        <v>0</v>
      </c>
      <c r="N61" s="78">
        <f t="shared" si="7"/>
        <v>0</v>
      </c>
      <c r="O61" s="79">
        <f t="shared" si="8"/>
        <v>0</v>
      </c>
    </row>
    <row r="62" spans="2:15" s="61" customFormat="1" ht="19" customHeight="1" x14ac:dyDescent="0.2">
      <c r="B62" s="24"/>
      <c r="C62" s="24"/>
      <c r="D62" s="36"/>
      <c r="E62" s="24"/>
      <c r="F62" s="77" t="str">
        <f t="shared" si="0"/>
        <v/>
      </c>
      <c r="G62" s="24"/>
      <c r="I62" s="78">
        <f t="shared" si="2"/>
        <v>0</v>
      </c>
      <c r="J62" s="78">
        <f t="shared" si="3"/>
        <v>0</v>
      </c>
      <c r="K62" s="78">
        <f t="shared" si="4"/>
        <v>0</v>
      </c>
      <c r="L62" s="78">
        <f t="shared" si="5"/>
        <v>0</v>
      </c>
      <c r="M62" s="78">
        <f t="shared" si="6"/>
        <v>0</v>
      </c>
      <c r="N62" s="78">
        <f t="shared" si="7"/>
        <v>0</v>
      </c>
      <c r="O62" s="79">
        <f t="shared" si="8"/>
        <v>0</v>
      </c>
    </row>
    <row r="63" spans="2:15" s="61" customFormat="1" ht="19" customHeight="1" x14ac:dyDescent="0.2">
      <c r="B63" s="24"/>
      <c r="C63" s="24"/>
      <c r="D63" s="36"/>
      <c r="E63" s="24"/>
      <c r="F63" s="77" t="str">
        <f t="shared" si="0"/>
        <v/>
      </c>
      <c r="G63" s="24"/>
      <c r="I63" s="78">
        <f t="shared" si="2"/>
        <v>0</v>
      </c>
      <c r="J63" s="78">
        <f t="shared" si="3"/>
        <v>0</v>
      </c>
      <c r="K63" s="78">
        <f t="shared" si="4"/>
        <v>0</v>
      </c>
      <c r="L63" s="78">
        <f t="shared" si="5"/>
        <v>0</v>
      </c>
      <c r="M63" s="78">
        <f t="shared" si="6"/>
        <v>0</v>
      </c>
      <c r="N63" s="78">
        <f t="shared" si="7"/>
        <v>0</v>
      </c>
      <c r="O63" s="79">
        <f t="shared" si="8"/>
        <v>0</v>
      </c>
    </row>
    <row r="64" spans="2:15" s="61" customFormat="1" ht="19" customHeight="1" x14ac:dyDescent="0.2">
      <c r="B64" s="24"/>
      <c r="C64" s="24"/>
      <c r="D64" s="36"/>
      <c r="E64" s="24"/>
      <c r="F64" s="77" t="str">
        <f t="shared" si="0"/>
        <v/>
      </c>
      <c r="G64" s="24"/>
      <c r="I64" s="78">
        <f t="shared" si="2"/>
        <v>0</v>
      </c>
      <c r="J64" s="78">
        <f t="shared" si="3"/>
        <v>0</v>
      </c>
      <c r="K64" s="78">
        <f t="shared" si="4"/>
        <v>0</v>
      </c>
      <c r="L64" s="78">
        <f t="shared" si="5"/>
        <v>0</v>
      </c>
      <c r="M64" s="78">
        <f t="shared" si="6"/>
        <v>0</v>
      </c>
      <c r="N64" s="78">
        <f t="shared" si="7"/>
        <v>0</v>
      </c>
      <c r="O64" s="79">
        <f t="shared" si="8"/>
        <v>0</v>
      </c>
    </row>
    <row r="65" spans="2:15" s="61" customFormat="1" ht="19" customHeight="1" x14ac:dyDescent="0.2">
      <c r="B65" s="24"/>
      <c r="C65" s="24"/>
      <c r="D65" s="36"/>
      <c r="E65" s="24"/>
      <c r="F65" s="77" t="str">
        <f t="shared" si="0"/>
        <v/>
      </c>
      <c r="G65" s="24"/>
      <c r="I65" s="78">
        <f t="shared" si="2"/>
        <v>0</v>
      </c>
      <c r="J65" s="78">
        <f t="shared" si="3"/>
        <v>0</v>
      </c>
      <c r="K65" s="78">
        <f t="shared" si="4"/>
        <v>0</v>
      </c>
      <c r="L65" s="78">
        <f t="shared" si="5"/>
        <v>0</v>
      </c>
      <c r="M65" s="78">
        <f t="shared" si="6"/>
        <v>0</v>
      </c>
      <c r="N65" s="78">
        <f t="shared" si="7"/>
        <v>0</v>
      </c>
      <c r="O65" s="79">
        <f t="shared" si="8"/>
        <v>0</v>
      </c>
    </row>
    <row r="66" spans="2:15" s="61" customFormat="1" ht="19" customHeight="1" x14ac:dyDescent="0.2">
      <c r="B66" s="24"/>
      <c r="C66" s="24"/>
      <c r="D66" s="36"/>
      <c r="E66" s="24"/>
      <c r="F66" s="77" t="str">
        <f t="shared" si="0"/>
        <v/>
      </c>
      <c r="G66" s="24"/>
      <c r="I66" s="78">
        <f t="shared" si="2"/>
        <v>0</v>
      </c>
      <c r="J66" s="78">
        <f t="shared" si="3"/>
        <v>0</v>
      </c>
      <c r="K66" s="78">
        <f t="shared" si="4"/>
        <v>0</v>
      </c>
      <c r="L66" s="78">
        <f t="shared" si="5"/>
        <v>0</v>
      </c>
      <c r="M66" s="78">
        <f t="shared" si="6"/>
        <v>0</v>
      </c>
      <c r="N66" s="78">
        <f t="shared" si="7"/>
        <v>0</v>
      </c>
      <c r="O66" s="79">
        <f t="shared" si="8"/>
        <v>0</v>
      </c>
    </row>
    <row r="67" spans="2:15" s="61" customFormat="1" ht="19" customHeight="1" x14ac:dyDescent="0.2">
      <c r="B67" s="24"/>
      <c r="C67" s="24"/>
      <c r="D67" s="36"/>
      <c r="E67" s="24"/>
      <c r="F67" s="77" t="str">
        <f t="shared" si="0"/>
        <v/>
      </c>
      <c r="G67" s="24"/>
      <c r="I67" s="78">
        <f t="shared" si="2"/>
        <v>0</v>
      </c>
      <c r="J67" s="78">
        <f t="shared" si="3"/>
        <v>0</v>
      </c>
      <c r="K67" s="78">
        <f t="shared" si="4"/>
        <v>0</v>
      </c>
      <c r="L67" s="78">
        <f t="shared" si="5"/>
        <v>0</v>
      </c>
      <c r="M67" s="78">
        <f t="shared" si="6"/>
        <v>0</v>
      </c>
      <c r="N67" s="78">
        <f t="shared" si="7"/>
        <v>0</v>
      </c>
      <c r="O67" s="79">
        <f t="shared" si="8"/>
        <v>0</v>
      </c>
    </row>
    <row r="68" spans="2:15" s="61" customFormat="1" ht="19" customHeight="1" x14ac:dyDescent="0.2">
      <c r="B68" s="24"/>
      <c r="C68" s="24"/>
      <c r="D68" s="36"/>
      <c r="E68" s="24"/>
      <c r="F68" s="77" t="str">
        <f t="shared" si="0"/>
        <v/>
      </c>
      <c r="G68" s="24"/>
      <c r="I68" s="78">
        <f t="shared" si="2"/>
        <v>0</v>
      </c>
      <c r="J68" s="78">
        <f t="shared" si="3"/>
        <v>0</v>
      </c>
      <c r="K68" s="78">
        <f t="shared" si="4"/>
        <v>0</v>
      </c>
      <c r="L68" s="78">
        <f t="shared" si="5"/>
        <v>0</v>
      </c>
      <c r="M68" s="78">
        <f t="shared" si="6"/>
        <v>0</v>
      </c>
      <c r="N68" s="78">
        <f t="shared" si="7"/>
        <v>0</v>
      </c>
      <c r="O68" s="79">
        <f t="shared" si="8"/>
        <v>0</v>
      </c>
    </row>
    <row r="69" spans="2:15" s="61" customFormat="1" ht="19" customHeight="1" x14ac:dyDescent="0.2">
      <c r="B69" s="24"/>
      <c r="C69" s="24"/>
      <c r="D69" s="36"/>
      <c r="E69" s="24"/>
      <c r="F69" s="77" t="str">
        <f t="shared" si="0"/>
        <v/>
      </c>
      <c r="G69" s="24"/>
      <c r="I69" s="78">
        <f t="shared" si="2"/>
        <v>0</v>
      </c>
      <c r="J69" s="78">
        <f t="shared" si="3"/>
        <v>0</v>
      </c>
      <c r="K69" s="78">
        <f t="shared" si="4"/>
        <v>0</v>
      </c>
      <c r="L69" s="78">
        <f t="shared" si="5"/>
        <v>0</v>
      </c>
      <c r="M69" s="78">
        <f t="shared" si="6"/>
        <v>0</v>
      </c>
      <c r="N69" s="78">
        <f t="shared" si="7"/>
        <v>0</v>
      </c>
      <c r="O69" s="79">
        <f t="shared" si="8"/>
        <v>0</v>
      </c>
    </row>
    <row r="70" spans="2:15" s="61" customFormat="1" ht="19" customHeight="1" x14ac:dyDescent="0.2">
      <c r="B70" s="24"/>
      <c r="C70" s="24"/>
      <c r="D70" s="36"/>
      <c r="E70" s="24"/>
      <c r="F70" s="77" t="str">
        <f t="shared" si="0"/>
        <v/>
      </c>
      <c r="G70" s="24"/>
      <c r="I70" s="78">
        <f t="shared" si="2"/>
        <v>0</v>
      </c>
      <c r="J70" s="78">
        <f t="shared" si="3"/>
        <v>0</v>
      </c>
      <c r="K70" s="78">
        <f t="shared" si="4"/>
        <v>0</v>
      </c>
      <c r="L70" s="78">
        <f t="shared" si="5"/>
        <v>0</v>
      </c>
      <c r="M70" s="78">
        <f t="shared" si="6"/>
        <v>0</v>
      </c>
      <c r="N70" s="78">
        <f t="shared" si="7"/>
        <v>0</v>
      </c>
      <c r="O70" s="79">
        <f t="shared" si="8"/>
        <v>0</v>
      </c>
    </row>
    <row r="71" spans="2:15" s="61" customFormat="1" ht="19" customHeight="1" x14ac:dyDescent="0.2">
      <c r="B71" s="24"/>
      <c r="C71" s="24"/>
      <c r="D71" s="36"/>
      <c r="E71" s="24"/>
      <c r="F71" s="77" t="str">
        <f t="shared" si="0"/>
        <v/>
      </c>
      <c r="G71" s="24"/>
      <c r="I71" s="78">
        <f t="shared" si="2"/>
        <v>0</v>
      </c>
      <c r="J71" s="78">
        <f t="shared" si="3"/>
        <v>0</v>
      </c>
      <c r="K71" s="78">
        <f t="shared" si="4"/>
        <v>0</v>
      </c>
      <c r="L71" s="78">
        <f t="shared" si="5"/>
        <v>0</v>
      </c>
      <c r="M71" s="78">
        <f t="shared" si="6"/>
        <v>0</v>
      </c>
      <c r="N71" s="78">
        <f t="shared" si="7"/>
        <v>0</v>
      </c>
      <c r="O71" s="79">
        <f t="shared" si="8"/>
        <v>0</v>
      </c>
    </row>
    <row r="72" spans="2:15" s="61" customFormat="1" ht="19" customHeight="1" x14ac:dyDescent="0.2">
      <c r="B72" s="24"/>
      <c r="C72" s="24"/>
      <c r="D72" s="36"/>
      <c r="E72" s="24"/>
      <c r="F72" s="77" t="str">
        <f t="shared" si="0"/>
        <v/>
      </c>
      <c r="G72" s="24"/>
      <c r="I72" s="78">
        <f t="shared" si="2"/>
        <v>0</v>
      </c>
      <c r="J72" s="78">
        <f t="shared" si="3"/>
        <v>0</v>
      </c>
      <c r="K72" s="78">
        <f t="shared" si="4"/>
        <v>0</v>
      </c>
      <c r="L72" s="78">
        <f t="shared" si="5"/>
        <v>0</v>
      </c>
      <c r="M72" s="78">
        <f t="shared" si="6"/>
        <v>0</v>
      </c>
      <c r="N72" s="78">
        <f t="shared" si="7"/>
        <v>0</v>
      </c>
      <c r="O72" s="79">
        <f t="shared" si="8"/>
        <v>0</v>
      </c>
    </row>
    <row r="73" spans="2:15" s="61" customFormat="1" ht="19" customHeight="1" x14ac:dyDescent="0.2">
      <c r="B73" s="24"/>
      <c r="C73" s="24"/>
      <c r="D73" s="36"/>
      <c r="E73" s="24"/>
      <c r="F73" s="77" t="str">
        <f t="shared" si="0"/>
        <v/>
      </c>
      <c r="G73" s="24"/>
      <c r="I73" s="78">
        <f t="shared" si="2"/>
        <v>0</v>
      </c>
      <c r="J73" s="78">
        <f t="shared" si="3"/>
        <v>0</v>
      </c>
      <c r="K73" s="78">
        <f t="shared" si="4"/>
        <v>0</v>
      </c>
      <c r="L73" s="78">
        <f t="shared" si="5"/>
        <v>0</v>
      </c>
      <c r="M73" s="78">
        <f t="shared" si="6"/>
        <v>0</v>
      </c>
      <c r="N73" s="78">
        <f t="shared" si="7"/>
        <v>0</v>
      </c>
      <c r="O73" s="79">
        <f t="shared" si="8"/>
        <v>0</v>
      </c>
    </row>
    <row r="74" spans="2:15" s="61" customFormat="1" ht="19" customHeight="1" x14ac:dyDescent="0.2">
      <c r="B74" s="24"/>
      <c r="C74" s="24"/>
      <c r="D74" s="36"/>
      <c r="E74" s="24"/>
      <c r="F74" s="77" t="str">
        <f t="shared" si="0"/>
        <v/>
      </c>
      <c r="G74" s="24"/>
      <c r="I74" s="78">
        <f t="shared" si="2"/>
        <v>0</v>
      </c>
      <c r="J74" s="78">
        <f t="shared" si="3"/>
        <v>0</v>
      </c>
      <c r="K74" s="78">
        <f t="shared" si="4"/>
        <v>0</v>
      </c>
      <c r="L74" s="78">
        <f t="shared" si="5"/>
        <v>0</v>
      </c>
      <c r="M74" s="78">
        <f t="shared" si="6"/>
        <v>0</v>
      </c>
      <c r="N74" s="78">
        <f t="shared" si="7"/>
        <v>0</v>
      </c>
      <c r="O74" s="79">
        <f t="shared" si="8"/>
        <v>0</v>
      </c>
    </row>
    <row r="75" spans="2:15" s="61" customFormat="1" ht="19" customHeight="1" x14ac:dyDescent="0.2">
      <c r="B75" s="24"/>
      <c r="C75" s="24"/>
      <c r="D75" s="36"/>
      <c r="E75" s="24"/>
      <c r="F75" s="77" t="str">
        <f t="shared" ref="F75:F138" si="9">IF(E75="","",IFERROR(VLOOKUP(E75,zone,2,0),""))</f>
        <v/>
      </c>
      <c r="G75" s="24"/>
      <c r="I75" s="78">
        <f t="shared" si="2"/>
        <v>0</v>
      </c>
      <c r="J75" s="78">
        <f t="shared" si="3"/>
        <v>0</v>
      </c>
      <c r="K75" s="78">
        <f t="shared" si="4"/>
        <v>0</v>
      </c>
      <c r="L75" s="78">
        <f t="shared" si="5"/>
        <v>0</v>
      </c>
      <c r="M75" s="78">
        <f t="shared" si="6"/>
        <v>0</v>
      </c>
      <c r="N75" s="78">
        <f t="shared" si="7"/>
        <v>0</v>
      </c>
      <c r="O75" s="79">
        <f t="shared" si="8"/>
        <v>0</v>
      </c>
    </row>
    <row r="76" spans="2:15" s="61" customFormat="1" ht="19" customHeight="1" x14ac:dyDescent="0.2">
      <c r="B76" s="24"/>
      <c r="C76" s="24"/>
      <c r="D76" s="36"/>
      <c r="E76" s="24"/>
      <c r="F76" s="77" t="str">
        <f t="shared" si="9"/>
        <v/>
      </c>
      <c r="G76" s="24"/>
      <c r="I76" s="78">
        <f t="shared" ref="I76:I139" si="10">IF(B76="",0,1)</f>
        <v>0</v>
      </c>
      <c r="J76" s="78">
        <f t="shared" ref="J76:J139" si="11">IF(C76="",0,1)</f>
        <v>0</v>
      </c>
      <c r="K76" s="78">
        <f t="shared" ref="K76:K139" si="12">IF(D76="",0,1)</f>
        <v>0</v>
      </c>
      <c r="L76" s="78">
        <f t="shared" ref="L76:L139" si="13">IF(E76="",0,1)</f>
        <v>0</v>
      </c>
      <c r="M76" s="78">
        <f t="shared" ref="M76:M139" si="14">IF(F76="",0,1)</f>
        <v>0</v>
      </c>
      <c r="N76" s="78">
        <f t="shared" ref="N76:N139" si="15">IF(G76="",0,1)</f>
        <v>0</v>
      </c>
      <c r="O76" s="79">
        <f t="shared" ref="O76:O139" si="16">SUM(I76:N76)</f>
        <v>0</v>
      </c>
    </row>
    <row r="77" spans="2:15" s="61" customFormat="1" ht="19" customHeight="1" x14ac:dyDescent="0.2">
      <c r="B77" s="24"/>
      <c r="C77" s="24"/>
      <c r="D77" s="36"/>
      <c r="E77" s="24"/>
      <c r="F77" s="77" t="str">
        <f t="shared" si="9"/>
        <v/>
      </c>
      <c r="G77" s="24"/>
      <c r="I77" s="78">
        <f t="shared" si="10"/>
        <v>0</v>
      </c>
      <c r="J77" s="78">
        <f t="shared" si="11"/>
        <v>0</v>
      </c>
      <c r="K77" s="78">
        <f t="shared" si="12"/>
        <v>0</v>
      </c>
      <c r="L77" s="78">
        <f t="shared" si="13"/>
        <v>0</v>
      </c>
      <c r="M77" s="78">
        <f t="shared" si="14"/>
        <v>0</v>
      </c>
      <c r="N77" s="78">
        <f t="shared" si="15"/>
        <v>0</v>
      </c>
      <c r="O77" s="79">
        <f t="shared" si="16"/>
        <v>0</v>
      </c>
    </row>
    <row r="78" spans="2:15" s="61" customFormat="1" ht="19" customHeight="1" x14ac:dyDescent="0.2">
      <c r="B78" s="24"/>
      <c r="C78" s="24"/>
      <c r="D78" s="36"/>
      <c r="E78" s="24"/>
      <c r="F78" s="77" t="str">
        <f t="shared" si="9"/>
        <v/>
      </c>
      <c r="G78" s="24"/>
      <c r="I78" s="78">
        <f t="shared" si="10"/>
        <v>0</v>
      </c>
      <c r="J78" s="78">
        <f t="shared" si="11"/>
        <v>0</v>
      </c>
      <c r="K78" s="78">
        <f t="shared" si="12"/>
        <v>0</v>
      </c>
      <c r="L78" s="78">
        <f t="shared" si="13"/>
        <v>0</v>
      </c>
      <c r="M78" s="78">
        <f t="shared" si="14"/>
        <v>0</v>
      </c>
      <c r="N78" s="78">
        <f t="shared" si="15"/>
        <v>0</v>
      </c>
      <c r="O78" s="79">
        <f t="shared" si="16"/>
        <v>0</v>
      </c>
    </row>
    <row r="79" spans="2:15" s="61" customFormat="1" ht="19" customHeight="1" x14ac:dyDescent="0.2">
      <c r="B79" s="24"/>
      <c r="C79" s="24"/>
      <c r="D79" s="36"/>
      <c r="E79" s="24"/>
      <c r="F79" s="77" t="str">
        <f t="shared" si="9"/>
        <v/>
      </c>
      <c r="G79" s="24"/>
      <c r="I79" s="78">
        <f t="shared" si="10"/>
        <v>0</v>
      </c>
      <c r="J79" s="78">
        <f t="shared" si="11"/>
        <v>0</v>
      </c>
      <c r="K79" s="78">
        <f t="shared" si="12"/>
        <v>0</v>
      </c>
      <c r="L79" s="78">
        <f t="shared" si="13"/>
        <v>0</v>
      </c>
      <c r="M79" s="78">
        <f t="shared" si="14"/>
        <v>0</v>
      </c>
      <c r="N79" s="78">
        <f t="shared" si="15"/>
        <v>0</v>
      </c>
      <c r="O79" s="79">
        <f t="shared" si="16"/>
        <v>0</v>
      </c>
    </row>
    <row r="80" spans="2:15" s="61" customFormat="1" ht="19" customHeight="1" x14ac:dyDescent="0.2">
      <c r="B80" s="24"/>
      <c r="C80" s="24"/>
      <c r="D80" s="36"/>
      <c r="E80" s="24"/>
      <c r="F80" s="77" t="str">
        <f t="shared" si="9"/>
        <v/>
      </c>
      <c r="G80" s="24"/>
      <c r="I80" s="78">
        <f t="shared" si="10"/>
        <v>0</v>
      </c>
      <c r="J80" s="78">
        <f t="shared" si="11"/>
        <v>0</v>
      </c>
      <c r="K80" s="78">
        <f t="shared" si="12"/>
        <v>0</v>
      </c>
      <c r="L80" s="78">
        <f t="shared" si="13"/>
        <v>0</v>
      </c>
      <c r="M80" s="78">
        <f t="shared" si="14"/>
        <v>0</v>
      </c>
      <c r="N80" s="78">
        <f t="shared" si="15"/>
        <v>0</v>
      </c>
      <c r="O80" s="79">
        <f t="shared" si="16"/>
        <v>0</v>
      </c>
    </row>
    <row r="81" spans="2:15" s="61" customFormat="1" ht="19" customHeight="1" x14ac:dyDescent="0.2">
      <c r="B81" s="24"/>
      <c r="C81" s="24"/>
      <c r="D81" s="36"/>
      <c r="E81" s="24"/>
      <c r="F81" s="77" t="str">
        <f t="shared" si="9"/>
        <v/>
      </c>
      <c r="G81" s="24"/>
      <c r="I81" s="78">
        <f t="shared" si="10"/>
        <v>0</v>
      </c>
      <c r="J81" s="78">
        <f t="shared" si="11"/>
        <v>0</v>
      </c>
      <c r="K81" s="78">
        <f t="shared" si="12"/>
        <v>0</v>
      </c>
      <c r="L81" s="78">
        <f t="shared" si="13"/>
        <v>0</v>
      </c>
      <c r="M81" s="78">
        <f t="shared" si="14"/>
        <v>0</v>
      </c>
      <c r="N81" s="78">
        <f t="shared" si="15"/>
        <v>0</v>
      </c>
      <c r="O81" s="79">
        <f t="shared" si="16"/>
        <v>0</v>
      </c>
    </row>
    <row r="82" spans="2:15" s="61" customFormat="1" ht="19" customHeight="1" x14ac:dyDescent="0.2">
      <c r="B82" s="24"/>
      <c r="C82" s="24"/>
      <c r="D82" s="36"/>
      <c r="E82" s="24"/>
      <c r="F82" s="77" t="str">
        <f t="shared" si="9"/>
        <v/>
      </c>
      <c r="G82" s="24"/>
      <c r="I82" s="78">
        <f t="shared" si="10"/>
        <v>0</v>
      </c>
      <c r="J82" s="78">
        <f t="shared" si="11"/>
        <v>0</v>
      </c>
      <c r="K82" s="78">
        <f t="shared" si="12"/>
        <v>0</v>
      </c>
      <c r="L82" s="78">
        <f t="shared" si="13"/>
        <v>0</v>
      </c>
      <c r="M82" s="78">
        <f t="shared" si="14"/>
        <v>0</v>
      </c>
      <c r="N82" s="78">
        <f t="shared" si="15"/>
        <v>0</v>
      </c>
      <c r="O82" s="79">
        <f t="shared" si="16"/>
        <v>0</v>
      </c>
    </row>
    <row r="83" spans="2:15" s="61" customFormat="1" ht="19" customHeight="1" x14ac:dyDescent="0.2">
      <c r="B83" s="24"/>
      <c r="C83" s="24"/>
      <c r="D83" s="36"/>
      <c r="E83" s="24"/>
      <c r="F83" s="77" t="str">
        <f t="shared" si="9"/>
        <v/>
      </c>
      <c r="G83" s="24"/>
      <c r="I83" s="78">
        <f t="shared" si="10"/>
        <v>0</v>
      </c>
      <c r="J83" s="78">
        <f t="shared" si="11"/>
        <v>0</v>
      </c>
      <c r="K83" s="78">
        <f t="shared" si="12"/>
        <v>0</v>
      </c>
      <c r="L83" s="78">
        <f t="shared" si="13"/>
        <v>0</v>
      </c>
      <c r="M83" s="78">
        <f t="shared" si="14"/>
        <v>0</v>
      </c>
      <c r="N83" s="78">
        <f t="shared" si="15"/>
        <v>0</v>
      </c>
      <c r="O83" s="79">
        <f t="shared" si="16"/>
        <v>0</v>
      </c>
    </row>
    <row r="84" spans="2:15" s="61" customFormat="1" ht="19" customHeight="1" x14ac:dyDescent="0.2">
      <c r="B84" s="24"/>
      <c r="C84" s="24"/>
      <c r="D84" s="36"/>
      <c r="E84" s="24"/>
      <c r="F84" s="77" t="str">
        <f t="shared" si="9"/>
        <v/>
      </c>
      <c r="G84" s="24"/>
      <c r="I84" s="78">
        <f t="shared" si="10"/>
        <v>0</v>
      </c>
      <c r="J84" s="78">
        <f t="shared" si="11"/>
        <v>0</v>
      </c>
      <c r="K84" s="78">
        <f t="shared" si="12"/>
        <v>0</v>
      </c>
      <c r="L84" s="78">
        <f t="shared" si="13"/>
        <v>0</v>
      </c>
      <c r="M84" s="78">
        <f t="shared" si="14"/>
        <v>0</v>
      </c>
      <c r="N84" s="78">
        <f t="shared" si="15"/>
        <v>0</v>
      </c>
      <c r="O84" s="79">
        <f t="shared" si="16"/>
        <v>0</v>
      </c>
    </row>
    <row r="85" spans="2:15" s="61" customFormat="1" ht="19" customHeight="1" x14ac:dyDescent="0.2">
      <c r="B85" s="24"/>
      <c r="C85" s="24"/>
      <c r="D85" s="36"/>
      <c r="E85" s="24"/>
      <c r="F85" s="77" t="str">
        <f t="shared" si="9"/>
        <v/>
      </c>
      <c r="G85" s="24"/>
      <c r="I85" s="78">
        <f t="shared" si="10"/>
        <v>0</v>
      </c>
      <c r="J85" s="78">
        <f t="shared" si="11"/>
        <v>0</v>
      </c>
      <c r="K85" s="78">
        <f t="shared" si="12"/>
        <v>0</v>
      </c>
      <c r="L85" s="78">
        <f t="shared" si="13"/>
        <v>0</v>
      </c>
      <c r="M85" s="78">
        <f t="shared" si="14"/>
        <v>0</v>
      </c>
      <c r="N85" s="78">
        <f t="shared" si="15"/>
        <v>0</v>
      </c>
      <c r="O85" s="79">
        <f t="shared" si="16"/>
        <v>0</v>
      </c>
    </row>
    <row r="86" spans="2:15" s="61" customFormat="1" ht="19" customHeight="1" x14ac:dyDescent="0.2">
      <c r="B86" s="24"/>
      <c r="C86" s="24"/>
      <c r="D86" s="36"/>
      <c r="E86" s="24"/>
      <c r="F86" s="77" t="str">
        <f t="shared" si="9"/>
        <v/>
      </c>
      <c r="G86" s="24"/>
      <c r="I86" s="78">
        <f t="shared" si="10"/>
        <v>0</v>
      </c>
      <c r="J86" s="78">
        <f t="shared" si="11"/>
        <v>0</v>
      </c>
      <c r="K86" s="78">
        <f t="shared" si="12"/>
        <v>0</v>
      </c>
      <c r="L86" s="78">
        <f t="shared" si="13"/>
        <v>0</v>
      </c>
      <c r="M86" s="78">
        <f t="shared" si="14"/>
        <v>0</v>
      </c>
      <c r="N86" s="78">
        <f t="shared" si="15"/>
        <v>0</v>
      </c>
      <c r="O86" s="79">
        <f t="shared" si="16"/>
        <v>0</v>
      </c>
    </row>
    <row r="87" spans="2:15" s="61" customFormat="1" ht="19" customHeight="1" x14ac:dyDescent="0.2">
      <c r="B87" s="24"/>
      <c r="C87" s="24"/>
      <c r="D87" s="36"/>
      <c r="E87" s="24"/>
      <c r="F87" s="77" t="str">
        <f t="shared" si="9"/>
        <v/>
      </c>
      <c r="G87" s="24"/>
      <c r="I87" s="78">
        <f t="shared" si="10"/>
        <v>0</v>
      </c>
      <c r="J87" s="78">
        <f t="shared" si="11"/>
        <v>0</v>
      </c>
      <c r="K87" s="78">
        <f t="shared" si="12"/>
        <v>0</v>
      </c>
      <c r="L87" s="78">
        <f t="shared" si="13"/>
        <v>0</v>
      </c>
      <c r="M87" s="78">
        <f t="shared" si="14"/>
        <v>0</v>
      </c>
      <c r="N87" s="78">
        <f t="shared" si="15"/>
        <v>0</v>
      </c>
      <c r="O87" s="79">
        <f t="shared" si="16"/>
        <v>0</v>
      </c>
    </row>
    <row r="88" spans="2:15" s="61" customFormat="1" ht="19" customHeight="1" x14ac:dyDescent="0.2">
      <c r="B88" s="24"/>
      <c r="C88" s="24"/>
      <c r="D88" s="36"/>
      <c r="E88" s="24"/>
      <c r="F88" s="77" t="str">
        <f t="shared" si="9"/>
        <v/>
      </c>
      <c r="G88" s="24"/>
      <c r="I88" s="78">
        <f t="shared" si="10"/>
        <v>0</v>
      </c>
      <c r="J88" s="78">
        <f t="shared" si="11"/>
        <v>0</v>
      </c>
      <c r="K88" s="78">
        <f t="shared" si="12"/>
        <v>0</v>
      </c>
      <c r="L88" s="78">
        <f t="shared" si="13"/>
        <v>0</v>
      </c>
      <c r="M88" s="78">
        <f t="shared" si="14"/>
        <v>0</v>
      </c>
      <c r="N88" s="78">
        <f t="shared" si="15"/>
        <v>0</v>
      </c>
      <c r="O88" s="79">
        <f t="shared" si="16"/>
        <v>0</v>
      </c>
    </row>
    <row r="89" spans="2:15" s="61" customFormat="1" ht="19" customHeight="1" x14ac:dyDescent="0.2">
      <c r="B89" s="24"/>
      <c r="C89" s="24"/>
      <c r="D89" s="36"/>
      <c r="E89" s="24"/>
      <c r="F89" s="77" t="str">
        <f t="shared" si="9"/>
        <v/>
      </c>
      <c r="G89" s="24"/>
      <c r="I89" s="78">
        <f t="shared" si="10"/>
        <v>0</v>
      </c>
      <c r="J89" s="78">
        <f t="shared" si="11"/>
        <v>0</v>
      </c>
      <c r="K89" s="78">
        <f t="shared" si="12"/>
        <v>0</v>
      </c>
      <c r="L89" s="78">
        <f t="shared" si="13"/>
        <v>0</v>
      </c>
      <c r="M89" s="78">
        <f t="shared" si="14"/>
        <v>0</v>
      </c>
      <c r="N89" s="78">
        <f t="shared" si="15"/>
        <v>0</v>
      </c>
      <c r="O89" s="79">
        <f t="shared" si="16"/>
        <v>0</v>
      </c>
    </row>
    <row r="90" spans="2:15" s="61" customFormat="1" ht="19" customHeight="1" x14ac:dyDescent="0.2">
      <c r="B90" s="24"/>
      <c r="C90" s="24"/>
      <c r="D90" s="36"/>
      <c r="E90" s="24"/>
      <c r="F90" s="77" t="str">
        <f t="shared" si="9"/>
        <v/>
      </c>
      <c r="G90" s="24"/>
      <c r="I90" s="78">
        <f t="shared" si="10"/>
        <v>0</v>
      </c>
      <c r="J90" s="78">
        <f t="shared" si="11"/>
        <v>0</v>
      </c>
      <c r="K90" s="78">
        <f t="shared" si="12"/>
        <v>0</v>
      </c>
      <c r="L90" s="78">
        <f t="shared" si="13"/>
        <v>0</v>
      </c>
      <c r="M90" s="78">
        <f t="shared" si="14"/>
        <v>0</v>
      </c>
      <c r="N90" s="78">
        <f t="shared" si="15"/>
        <v>0</v>
      </c>
      <c r="O90" s="79">
        <f t="shared" si="16"/>
        <v>0</v>
      </c>
    </row>
    <row r="91" spans="2:15" s="61" customFormat="1" ht="19" customHeight="1" x14ac:dyDescent="0.2">
      <c r="B91" s="24"/>
      <c r="C91" s="24"/>
      <c r="D91" s="36"/>
      <c r="E91" s="24"/>
      <c r="F91" s="77" t="str">
        <f t="shared" si="9"/>
        <v/>
      </c>
      <c r="G91" s="24"/>
      <c r="I91" s="78">
        <f t="shared" si="10"/>
        <v>0</v>
      </c>
      <c r="J91" s="78">
        <f t="shared" si="11"/>
        <v>0</v>
      </c>
      <c r="K91" s="78">
        <f t="shared" si="12"/>
        <v>0</v>
      </c>
      <c r="L91" s="78">
        <f t="shared" si="13"/>
        <v>0</v>
      </c>
      <c r="M91" s="78">
        <f t="shared" si="14"/>
        <v>0</v>
      </c>
      <c r="N91" s="78">
        <f t="shared" si="15"/>
        <v>0</v>
      </c>
      <c r="O91" s="79">
        <f t="shared" si="16"/>
        <v>0</v>
      </c>
    </row>
    <row r="92" spans="2:15" s="61" customFormat="1" ht="19" customHeight="1" x14ac:dyDescent="0.2">
      <c r="B92" s="24"/>
      <c r="C92" s="24"/>
      <c r="D92" s="36"/>
      <c r="E92" s="24"/>
      <c r="F92" s="77" t="str">
        <f t="shared" si="9"/>
        <v/>
      </c>
      <c r="G92" s="24"/>
      <c r="I92" s="78">
        <f t="shared" si="10"/>
        <v>0</v>
      </c>
      <c r="J92" s="78">
        <f t="shared" si="11"/>
        <v>0</v>
      </c>
      <c r="K92" s="78">
        <f t="shared" si="12"/>
        <v>0</v>
      </c>
      <c r="L92" s="78">
        <f t="shared" si="13"/>
        <v>0</v>
      </c>
      <c r="M92" s="78">
        <f t="shared" si="14"/>
        <v>0</v>
      </c>
      <c r="N92" s="78">
        <f t="shared" si="15"/>
        <v>0</v>
      </c>
      <c r="O92" s="79">
        <f t="shared" si="16"/>
        <v>0</v>
      </c>
    </row>
    <row r="93" spans="2:15" s="61" customFormat="1" ht="19" customHeight="1" x14ac:dyDescent="0.2">
      <c r="B93" s="24"/>
      <c r="C93" s="24"/>
      <c r="D93" s="36"/>
      <c r="E93" s="24"/>
      <c r="F93" s="77" t="str">
        <f t="shared" si="9"/>
        <v/>
      </c>
      <c r="G93" s="24"/>
      <c r="I93" s="78">
        <f t="shared" si="10"/>
        <v>0</v>
      </c>
      <c r="J93" s="78">
        <f t="shared" si="11"/>
        <v>0</v>
      </c>
      <c r="K93" s="78">
        <f t="shared" si="12"/>
        <v>0</v>
      </c>
      <c r="L93" s="78">
        <f t="shared" si="13"/>
        <v>0</v>
      </c>
      <c r="M93" s="78">
        <f t="shared" si="14"/>
        <v>0</v>
      </c>
      <c r="N93" s="78">
        <f t="shared" si="15"/>
        <v>0</v>
      </c>
      <c r="O93" s="79">
        <f t="shared" si="16"/>
        <v>0</v>
      </c>
    </row>
    <row r="94" spans="2:15" s="61" customFormat="1" ht="19" customHeight="1" x14ac:dyDescent="0.2">
      <c r="B94" s="24"/>
      <c r="C94" s="24"/>
      <c r="D94" s="36"/>
      <c r="E94" s="24"/>
      <c r="F94" s="77" t="str">
        <f t="shared" si="9"/>
        <v/>
      </c>
      <c r="G94" s="24"/>
      <c r="I94" s="78">
        <f t="shared" si="10"/>
        <v>0</v>
      </c>
      <c r="J94" s="78">
        <f t="shared" si="11"/>
        <v>0</v>
      </c>
      <c r="K94" s="78">
        <f t="shared" si="12"/>
        <v>0</v>
      </c>
      <c r="L94" s="78">
        <f t="shared" si="13"/>
        <v>0</v>
      </c>
      <c r="M94" s="78">
        <f t="shared" si="14"/>
        <v>0</v>
      </c>
      <c r="N94" s="78">
        <f t="shared" si="15"/>
        <v>0</v>
      </c>
      <c r="O94" s="79">
        <f t="shared" si="16"/>
        <v>0</v>
      </c>
    </row>
    <row r="95" spans="2:15" s="61" customFormat="1" ht="19" customHeight="1" x14ac:dyDescent="0.2">
      <c r="B95" s="24"/>
      <c r="C95" s="24"/>
      <c r="D95" s="36"/>
      <c r="E95" s="24"/>
      <c r="F95" s="77" t="str">
        <f t="shared" si="9"/>
        <v/>
      </c>
      <c r="G95" s="24"/>
      <c r="I95" s="78">
        <f t="shared" si="10"/>
        <v>0</v>
      </c>
      <c r="J95" s="78">
        <f t="shared" si="11"/>
        <v>0</v>
      </c>
      <c r="K95" s="78">
        <f t="shared" si="12"/>
        <v>0</v>
      </c>
      <c r="L95" s="78">
        <f t="shared" si="13"/>
        <v>0</v>
      </c>
      <c r="M95" s="78">
        <f t="shared" si="14"/>
        <v>0</v>
      </c>
      <c r="N95" s="78">
        <f t="shared" si="15"/>
        <v>0</v>
      </c>
      <c r="O95" s="79">
        <f t="shared" si="16"/>
        <v>0</v>
      </c>
    </row>
    <row r="96" spans="2:15" s="61" customFormat="1" ht="19" customHeight="1" x14ac:dyDescent="0.2">
      <c r="B96" s="24"/>
      <c r="C96" s="24"/>
      <c r="D96" s="36"/>
      <c r="E96" s="24"/>
      <c r="F96" s="77" t="str">
        <f t="shared" si="9"/>
        <v/>
      </c>
      <c r="G96" s="24"/>
      <c r="I96" s="78">
        <f t="shared" si="10"/>
        <v>0</v>
      </c>
      <c r="J96" s="78">
        <f t="shared" si="11"/>
        <v>0</v>
      </c>
      <c r="K96" s="78">
        <f t="shared" si="12"/>
        <v>0</v>
      </c>
      <c r="L96" s="78">
        <f t="shared" si="13"/>
        <v>0</v>
      </c>
      <c r="M96" s="78">
        <f t="shared" si="14"/>
        <v>0</v>
      </c>
      <c r="N96" s="78">
        <f t="shared" si="15"/>
        <v>0</v>
      </c>
      <c r="O96" s="79">
        <f t="shared" si="16"/>
        <v>0</v>
      </c>
    </row>
    <row r="97" spans="2:15" s="61" customFormat="1" ht="19" customHeight="1" x14ac:dyDescent="0.2">
      <c r="B97" s="24"/>
      <c r="C97" s="24"/>
      <c r="D97" s="36"/>
      <c r="E97" s="24"/>
      <c r="F97" s="77" t="str">
        <f t="shared" si="9"/>
        <v/>
      </c>
      <c r="G97" s="24"/>
      <c r="I97" s="78">
        <f t="shared" si="10"/>
        <v>0</v>
      </c>
      <c r="J97" s="78">
        <f t="shared" si="11"/>
        <v>0</v>
      </c>
      <c r="K97" s="78">
        <f t="shared" si="12"/>
        <v>0</v>
      </c>
      <c r="L97" s="78">
        <f t="shared" si="13"/>
        <v>0</v>
      </c>
      <c r="M97" s="78">
        <f t="shared" si="14"/>
        <v>0</v>
      </c>
      <c r="N97" s="78">
        <f t="shared" si="15"/>
        <v>0</v>
      </c>
      <c r="O97" s="79">
        <f t="shared" si="16"/>
        <v>0</v>
      </c>
    </row>
    <row r="98" spans="2:15" s="61" customFormat="1" ht="19" customHeight="1" x14ac:dyDescent="0.2">
      <c r="B98" s="24"/>
      <c r="C98" s="24"/>
      <c r="D98" s="36"/>
      <c r="E98" s="24"/>
      <c r="F98" s="77" t="str">
        <f t="shared" si="9"/>
        <v/>
      </c>
      <c r="G98" s="24"/>
      <c r="I98" s="78">
        <f t="shared" si="10"/>
        <v>0</v>
      </c>
      <c r="J98" s="78">
        <f t="shared" si="11"/>
        <v>0</v>
      </c>
      <c r="K98" s="78">
        <f t="shared" si="12"/>
        <v>0</v>
      </c>
      <c r="L98" s="78">
        <f t="shared" si="13"/>
        <v>0</v>
      </c>
      <c r="M98" s="78">
        <f t="shared" si="14"/>
        <v>0</v>
      </c>
      <c r="N98" s="78">
        <f t="shared" si="15"/>
        <v>0</v>
      </c>
      <c r="O98" s="79">
        <f t="shared" si="16"/>
        <v>0</v>
      </c>
    </row>
    <row r="99" spans="2:15" s="61" customFormat="1" ht="19" customHeight="1" x14ac:dyDescent="0.2">
      <c r="B99" s="24"/>
      <c r="C99" s="24"/>
      <c r="D99" s="36"/>
      <c r="E99" s="24"/>
      <c r="F99" s="77" t="str">
        <f t="shared" si="9"/>
        <v/>
      </c>
      <c r="G99" s="24"/>
      <c r="I99" s="78">
        <f t="shared" si="10"/>
        <v>0</v>
      </c>
      <c r="J99" s="78">
        <f t="shared" si="11"/>
        <v>0</v>
      </c>
      <c r="K99" s="78">
        <f t="shared" si="12"/>
        <v>0</v>
      </c>
      <c r="L99" s="78">
        <f t="shared" si="13"/>
        <v>0</v>
      </c>
      <c r="M99" s="78">
        <f t="shared" si="14"/>
        <v>0</v>
      </c>
      <c r="N99" s="78">
        <f t="shared" si="15"/>
        <v>0</v>
      </c>
      <c r="O99" s="79">
        <f t="shared" si="16"/>
        <v>0</v>
      </c>
    </row>
    <row r="100" spans="2:15" s="61" customFormat="1" ht="19" customHeight="1" x14ac:dyDescent="0.2">
      <c r="B100" s="24"/>
      <c r="C100" s="24"/>
      <c r="D100" s="36"/>
      <c r="E100" s="24"/>
      <c r="F100" s="77" t="str">
        <f t="shared" si="9"/>
        <v/>
      </c>
      <c r="G100" s="24"/>
      <c r="I100" s="78">
        <f t="shared" si="10"/>
        <v>0</v>
      </c>
      <c r="J100" s="78">
        <f t="shared" si="11"/>
        <v>0</v>
      </c>
      <c r="K100" s="78">
        <f t="shared" si="12"/>
        <v>0</v>
      </c>
      <c r="L100" s="78">
        <f t="shared" si="13"/>
        <v>0</v>
      </c>
      <c r="M100" s="78">
        <f t="shared" si="14"/>
        <v>0</v>
      </c>
      <c r="N100" s="78">
        <f t="shared" si="15"/>
        <v>0</v>
      </c>
      <c r="O100" s="79">
        <f t="shared" si="16"/>
        <v>0</v>
      </c>
    </row>
    <row r="101" spans="2:15" s="61" customFormat="1" ht="19" customHeight="1" x14ac:dyDescent="0.2">
      <c r="B101" s="24"/>
      <c r="C101" s="24"/>
      <c r="D101" s="36"/>
      <c r="E101" s="24"/>
      <c r="F101" s="77" t="str">
        <f t="shared" si="9"/>
        <v/>
      </c>
      <c r="G101" s="24"/>
      <c r="I101" s="78">
        <f t="shared" si="10"/>
        <v>0</v>
      </c>
      <c r="J101" s="78">
        <f t="shared" si="11"/>
        <v>0</v>
      </c>
      <c r="K101" s="78">
        <f t="shared" si="12"/>
        <v>0</v>
      </c>
      <c r="L101" s="78">
        <f t="shared" si="13"/>
        <v>0</v>
      </c>
      <c r="M101" s="78">
        <f t="shared" si="14"/>
        <v>0</v>
      </c>
      <c r="N101" s="78">
        <f t="shared" si="15"/>
        <v>0</v>
      </c>
      <c r="O101" s="79">
        <f t="shared" si="16"/>
        <v>0</v>
      </c>
    </row>
    <row r="102" spans="2:15" s="61" customFormat="1" ht="19" customHeight="1" x14ac:dyDescent="0.2">
      <c r="B102" s="24"/>
      <c r="C102" s="24"/>
      <c r="D102" s="36"/>
      <c r="E102" s="24"/>
      <c r="F102" s="77" t="str">
        <f t="shared" si="9"/>
        <v/>
      </c>
      <c r="G102" s="24"/>
      <c r="I102" s="78">
        <f t="shared" si="10"/>
        <v>0</v>
      </c>
      <c r="J102" s="78">
        <f t="shared" si="11"/>
        <v>0</v>
      </c>
      <c r="K102" s="78">
        <f t="shared" si="12"/>
        <v>0</v>
      </c>
      <c r="L102" s="78">
        <f t="shared" si="13"/>
        <v>0</v>
      </c>
      <c r="M102" s="78">
        <f t="shared" si="14"/>
        <v>0</v>
      </c>
      <c r="N102" s="78">
        <f t="shared" si="15"/>
        <v>0</v>
      </c>
      <c r="O102" s="79">
        <f t="shared" si="16"/>
        <v>0</v>
      </c>
    </row>
    <row r="103" spans="2:15" s="61" customFormat="1" ht="19" customHeight="1" x14ac:dyDescent="0.2">
      <c r="B103" s="24"/>
      <c r="C103" s="24"/>
      <c r="D103" s="36"/>
      <c r="E103" s="24"/>
      <c r="F103" s="77" t="str">
        <f t="shared" si="9"/>
        <v/>
      </c>
      <c r="G103" s="24"/>
      <c r="I103" s="78">
        <f t="shared" si="10"/>
        <v>0</v>
      </c>
      <c r="J103" s="78">
        <f t="shared" si="11"/>
        <v>0</v>
      </c>
      <c r="K103" s="78">
        <f t="shared" si="12"/>
        <v>0</v>
      </c>
      <c r="L103" s="78">
        <f t="shared" si="13"/>
        <v>0</v>
      </c>
      <c r="M103" s="78">
        <f t="shared" si="14"/>
        <v>0</v>
      </c>
      <c r="N103" s="78">
        <f t="shared" si="15"/>
        <v>0</v>
      </c>
      <c r="O103" s="79">
        <f t="shared" si="16"/>
        <v>0</v>
      </c>
    </row>
    <row r="104" spans="2:15" s="61" customFormat="1" ht="19" customHeight="1" x14ac:dyDescent="0.2">
      <c r="B104" s="24"/>
      <c r="C104" s="24"/>
      <c r="D104" s="36"/>
      <c r="E104" s="24"/>
      <c r="F104" s="77" t="str">
        <f t="shared" si="9"/>
        <v/>
      </c>
      <c r="G104" s="24"/>
      <c r="I104" s="78">
        <f t="shared" si="10"/>
        <v>0</v>
      </c>
      <c r="J104" s="78">
        <f t="shared" si="11"/>
        <v>0</v>
      </c>
      <c r="K104" s="78">
        <f t="shared" si="12"/>
        <v>0</v>
      </c>
      <c r="L104" s="78">
        <f t="shared" si="13"/>
        <v>0</v>
      </c>
      <c r="M104" s="78">
        <f t="shared" si="14"/>
        <v>0</v>
      </c>
      <c r="N104" s="78">
        <f t="shared" si="15"/>
        <v>0</v>
      </c>
      <c r="O104" s="79">
        <f t="shared" si="16"/>
        <v>0</v>
      </c>
    </row>
    <row r="105" spans="2:15" s="61" customFormat="1" ht="19" customHeight="1" x14ac:dyDescent="0.2">
      <c r="B105" s="24"/>
      <c r="C105" s="24"/>
      <c r="D105" s="36"/>
      <c r="E105" s="24"/>
      <c r="F105" s="77" t="str">
        <f t="shared" si="9"/>
        <v/>
      </c>
      <c r="G105" s="24"/>
      <c r="I105" s="78">
        <f t="shared" si="10"/>
        <v>0</v>
      </c>
      <c r="J105" s="78">
        <f t="shared" si="11"/>
        <v>0</v>
      </c>
      <c r="K105" s="78">
        <f t="shared" si="12"/>
        <v>0</v>
      </c>
      <c r="L105" s="78">
        <f t="shared" si="13"/>
        <v>0</v>
      </c>
      <c r="M105" s="78">
        <f t="shared" si="14"/>
        <v>0</v>
      </c>
      <c r="N105" s="78">
        <f t="shared" si="15"/>
        <v>0</v>
      </c>
      <c r="O105" s="79">
        <f t="shared" si="16"/>
        <v>0</v>
      </c>
    </row>
    <row r="106" spans="2:15" s="61" customFormat="1" ht="19" customHeight="1" x14ac:dyDescent="0.2">
      <c r="B106" s="24"/>
      <c r="C106" s="24"/>
      <c r="D106" s="36"/>
      <c r="E106" s="24"/>
      <c r="F106" s="77" t="str">
        <f t="shared" si="9"/>
        <v/>
      </c>
      <c r="G106" s="24"/>
      <c r="I106" s="78">
        <f t="shared" si="10"/>
        <v>0</v>
      </c>
      <c r="J106" s="78">
        <f t="shared" si="11"/>
        <v>0</v>
      </c>
      <c r="K106" s="78">
        <f t="shared" si="12"/>
        <v>0</v>
      </c>
      <c r="L106" s="78">
        <f t="shared" si="13"/>
        <v>0</v>
      </c>
      <c r="M106" s="78">
        <f t="shared" si="14"/>
        <v>0</v>
      </c>
      <c r="N106" s="78">
        <f t="shared" si="15"/>
        <v>0</v>
      </c>
      <c r="O106" s="79">
        <f t="shared" si="16"/>
        <v>0</v>
      </c>
    </row>
    <row r="107" spans="2:15" s="61" customFormat="1" ht="19" customHeight="1" x14ac:dyDescent="0.2">
      <c r="B107" s="24"/>
      <c r="C107" s="24"/>
      <c r="D107" s="36"/>
      <c r="E107" s="24"/>
      <c r="F107" s="77" t="str">
        <f t="shared" si="9"/>
        <v/>
      </c>
      <c r="G107" s="24"/>
      <c r="I107" s="78">
        <f t="shared" si="10"/>
        <v>0</v>
      </c>
      <c r="J107" s="78">
        <f t="shared" si="11"/>
        <v>0</v>
      </c>
      <c r="K107" s="78">
        <f t="shared" si="12"/>
        <v>0</v>
      </c>
      <c r="L107" s="78">
        <f t="shared" si="13"/>
        <v>0</v>
      </c>
      <c r="M107" s="78">
        <f t="shared" si="14"/>
        <v>0</v>
      </c>
      <c r="N107" s="78">
        <f t="shared" si="15"/>
        <v>0</v>
      </c>
      <c r="O107" s="79">
        <f t="shared" si="16"/>
        <v>0</v>
      </c>
    </row>
    <row r="108" spans="2:15" s="61" customFormat="1" ht="19" customHeight="1" x14ac:dyDescent="0.2">
      <c r="B108" s="24"/>
      <c r="C108" s="24"/>
      <c r="D108" s="36"/>
      <c r="E108" s="24"/>
      <c r="F108" s="77" t="str">
        <f t="shared" si="9"/>
        <v/>
      </c>
      <c r="G108" s="24"/>
      <c r="I108" s="78">
        <f t="shared" si="10"/>
        <v>0</v>
      </c>
      <c r="J108" s="78">
        <f t="shared" si="11"/>
        <v>0</v>
      </c>
      <c r="K108" s="78">
        <f t="shared" si="12"/>
        <v>0</v>
      </c>
      <c r="L108" s="78">
        <f t="shared" si="13"/>
        <v>0</v>
      </c>
      <c r="M108" s="78">
        <f t="shared" si="14"/>
        <v>0</v>
      </c>
      <c r="N108" s="78">
        <f t="shared" si="15"/>
        <v>0</v>
      </c>
      <c r="O108" s="79">
        <f t="shared" si="16"/>
        <v>0</v>
      </c>
    </row>
    <row r="109" spans="2:15" s="61" customFormat="1" ht="19" customHeight="1" x14ac:dyDescent="0.2">
      <c r="B109" s="24"/>
      <c r="C109" s="24"/>
      <c r="D109" s="36"/>
      <c r="E109" s="24"/>
      <c r="F109" s="77" t="str">
        <f t="shared" si="9"/>
        <v/>
      </c>
      <c r="G109" s="24"/>
      <c r="I109" s="78">
        <f t="shared" si="10"/>
        <v>0</v>
      </c>
      <c r="J109" s="78">
        <f t="shared" si="11"/>
        <v>0</v>
      </c>
      <c r="K109" s="78">
        <f t="shared" si="12"/>
        <v>0</v>
      </c>
      <c r="L109" s="78">
        <f t="shared" si="13"/>
        <v>0</v>
      </c>
      <c r="M109" s="78">
        <f t="shared" si="14"/>
        <v>0</v>
      </c>
      <c r="N109" s="78">
        <f t="shared" si="15"/>
        <v>0</v>
      </c>
      <c r="O109" s="79">
        <f t="shared" si="16"/>
        <v>0</v>
      </c>
    </row>
    <row r="110" spans="2:15" s="61" customFormat="1" ht="19" customHeight="1" x14ac:dyDescent="0.2">
      <c r="B110" s="24"/>
      <c r="C110" s="24"/>
      <c r="D110" s="36"/>
      <c r="E110" s="24"/>
      <c r="F110" s="77" t="str">
        <f t="shared" si="9"/>
        <v/>
      </c>
      <c r="G110" s="24"/>
      <c r="I110" s="78">
        <f t="shared" si="10"/>
        <v>0</v>
      </c>
      <c r="J110" s="78">
        <f t="shared" si="11"/>
        <v>0</v>
      </c>
      <c r="K110" s="78">
        <f t="shared" si="12"/>
        <v>0</v>
      </c>
      <c r="L110" s="78">
        <f t="shared" si="13"/>
        <v>0</v>
      </c>
      <c r="M110" s="78">
        <f t="shared" si="14"/>
        <v>0</v>
      </c>
      <c r="N110" s="78">
        <f t="shared" si="15"/>
        <v>0</v>
      </c>
      <c r="O110" s="79">
        <f t="shared" si="16"/>
        <v>0</v>
      </c>
    </row>
    <row r="111" spans="2:15" s="61" customFormat="1" ht="19" customHeight="1" x14ac:dyDescent="0.2">
      <c r="B111" s="24"/>
      <c r="C111" s="24"/>
      <c r="D111" s="36"/>
      <c r="E111" s="24"/>
      <c r="F111" s="77" t="str">
        <f t="shared" si="9"/>
        <v/>
      </c>
      <c r="G111" s="24"/>
      <c r="I111" s="78">
        <f t="shared" si="10"/>
        <v>0</v>
      </c>
      <c r="J111" s="78">
        <f t="shared" si="11"/>
        <v>0</v>
      </c>
      <c r="K111" s="78">
        <f t="shared" si="12"/>
        <v>0</v>
      </c>
      <c r="L111" s="78">
        <f t="shared" si="13"/>
        <v>0</v>
      </c>
      <c r="M111" s="78">
        <f t="shared" si="14"/>
        <v>0</v>
      </c>
      <c r="N111" s="78">
        <f t="shared" si="15"/>
        <v>0</v>
      </c>
      <c r="O111" s="79">
        <f t="shared" si="16"/>
        <v>0</v>
      </c>
    </row>
    <row r="112" spans="2:15" s="61" customFormat="1" ht="19" customHeight="1" x14ac:dyDescent="0.2">
      <c r="B112" s="24"/>
      <c r="C112" s="24"/>
      <c r="D112" s="36"/>
      <c r="E112" s="24"/>
      <c r="F112" s="77" t="str">
        <f t="shared" si="9"/>
        <v/>
      </c>
      <c r="G112" s="24"/>
      <c r="I112" s="78">
        <f t="shared" si="10"/>
        <v>0</v>
      </c>
      <c r="J112" s="78">
        <f t="shared" si="11"/>
        <v>0</v>
      </c>
      <c r="K112" s="78">
        <f t="shared" si="12"/>
        <v>0</v>
      </c>
      <c r="L112" s="78">
        <f t="shared" si="13"/>
        <v>0</v>
      </c>
      <c r="M112" s="78">
        <f t="shared" si="14"/>
        <v>0</v>
      </c>
      <c r="N112" s="78">
        <f t="shared" si="15"/>
        <v>0</v>
      </c>
      <c r="O112" s="79">
        <f t="shared" si="16"/>
        <v>0</v>
      </c>
    </row>
    <row r="113" spans="2:15" s="61" customFormat="1" ht="19" customHeight="1" x14ac:dyDescent="0.2">
      <c r="B113" s="24"/>
      <c r="C113" s="24"/>
      <c r="D113" s="36"/>
      <c r="E113" s="24"/>
      <c r="F113" s="77" t="str">
        <f t="shared" si="9"/>
        <v/>
      </c>
      <c r="G113" s="24"/>
      <c r="I113" s="78">
        <f t="shared" si="10"/>
        <v>0</v>
      </c>
      <c r="J113" s="78">
        <f t="shared" si="11"/>
        <v>0</v>
      </c>
      <c r="K113" s="78">
        <f t="shared" si="12"/>
        <v>0</v>
      </c>
      <c r="L113" s="78">
        <f t="shared" si="13"/>
        <v>0</v>
      </c>
      <c r="M113" s="78">
        <f t="shared" si="14"/>
        <v>0</v>
      </c>
      <c r="N113" s="78">
        <f t="shared" si="15"/>
        <v>0</v>
      </c>
      <c r="O113" s="79">
        <f t="shared" si="16"/>
        <v>0</v>
      </c>
    </row>
    <row r="114" spans="2:15" s="61" customFormat="1" ht="19" customHeight="1" x14ac:dyDescent="0.2">
      <c r="B114" s="24"/>
      <c r="C114" s="24"/>
      <c r="D114" s="36"/>
      <c r="E114" s="24"/>
      <c r="F114" s="77" t="str">
        <f t="shared" si="9"/>
        <v/>
      </c>
      <c r="G114" s="24"/>
      <c r="I114" s="78">
        <f t="shared" si="10"/>
        <v>0</v>
      </c>
      <c r="J114" s="78">
        <f t="shared" si="11"/>
        <v>0</v>
      </c>
      <c r="K114" s="78">
        <f t="shared" si="12"/>
        <v>0</v>
      </c>
      <c r="L114" s="78">
        <f t="shared" si="13"/>
        <v>0</v>
      </c>
      <c r="M114" s="78">
        <f t="shared" si="14"/>
        <v>0</v>
      </c>
      <c r="N114" s="78">
        <f t="shared" si="15"/>
        <v>0</v>
      </c>
      <c r="O114" s="79">
        <f t="shared" si="16"/>
        <v>0</v>
      </c>
    </row>
    <row r="115" spans="2:15" s="61" customFormat="1" ht="19" customHeight="1" x14ac:dyDescent="0.2">
      <c r="B115" s="24"/>
      <c r="C115" s="24"/>
      <c r="D115" s="36"/>
      <c r="E115" s="24"/>
      <c r="F115" s="77" t="str">
        <f t="shared" si="9"/>
        <v/>
      </c>
      <c r="G115" s="24"/>
      <c r="I115" s="78">
        <f t="shared" si="10"/>
        <v>0</v>
      </c>
      <c r="J115" s="78">
        <f t="shared" si="11"/>
        <v>0</v>
      </c>
      <c r="K115" s="78">
        <f t="shared" si="12"/>
        <v>0</v>
      </c>
      <c r="L115" s="78">
        <f t="shared" si="13"/>
        <v>0</v>
      </c>
      <c r="M115" s="78">
        <f t="shared" si="14"/>
        <v>0</v>
      </c>
      <c r="N115" s="78">
        <f t="shared" si="15"/>
        <v>0</v>
      </c>
      <c r="O115" s="79">
        <f t="shared" si="16"/>
        <v>0</v>
      </c>
    </row>
    <row r="116" spans="2:15" s="61" customFormat="1" ht="19" customHeight="1" x14ac:dyDescent="0.2">
      <c r="B116" s="24"/>
      <c r="C116" s="24"/>
      <c r="D116" s="36"/>
      <c r="E116" s="24"/>
      <c r="F116" s="77" t="str">
        <f t="shared" si="9"/>
        <v/>
      </c>
      <c r="G116" s="24"/>
      <c r="I116" s="78">
        <f t="shared" si="10"/>
        <v>0</v>
      </c>
      <c r="J116" s="78">
        <f t="shared" si="11"/>
        <v>0</v>
      </c>
      <c r="K116" s="78">
        <f t="shared" si="12"/>
        <v>0</v>
      </c>
      <c r="L116" s="78">
        <f t="shared" si="13"/>
        <v>0</v>
      </c>
      <c r="M116" s="78">
        <f t="shared" si="14"/>
        <v>0</v>
      </c>
      <c r="N116" s="78">
        <f t="shared" si="15"/>
        <v>0</v>
      </c>
      <c r="O116" s="79">
        <f t="shared" si="16"/>
        <v>0</v>
      </c>
    </row>
    <row r="117" spans="2:15" s="61" customFormat="1" ht="19" customHeight="1" x14ac:dyDescent="0.2">
      <c r="B117" s="24"/>
      <c r="C117" s="24"/>
      <c r="D117" s="36"/>
      <c r="E117" s="24"/>
      <c r="F117" s="77" t="str">
        <f t="shared" si="9"/>
        <v/>
      </c>
      <c r="G117" s="24"/>
      <c r="I117" s="78">
        <f t="shared" si="10"/>
        <v>0</v>
      </c>
      <c r="J117" s="78">
        <f t="shared" si="11"/>
        <v>0</v>
      </c>
      <c r="K117" s="78">
        <f t="shared" si="12"/>
        <v>0</v>
      </c>
      <c r="L117" s="78">
        <f t="shared" si="13"/>
        <v>0</v>
      </c>
      <c r="M117" s="78">
        <f t="shared" si="14"/>
        <v>0</v>
      </c>
      <c r="N117" s="78">
        <f t="shared" si="15"/>
        <v>0</v>
      </c>
      <c r="O117" s="79">
        <f t="shared" si="16"/>
        <v>0</v>
      </c>
    </row>
    <row r="118" spans="2:15" s="61" customFormat="1" ht="19" customHeight="1" x14ac:dyDescent="0.2">
      <c r="B118" s="24"/>
      <c r="C118" s="24"/>
      <c r="D118" s="36"/>
      <c r="E118" s="24"/>
      <c r="F118" s="77" t="str">
        <f t="shared" si="9"/>
        <v/>
      </c>
      <c r="G118" s="24"/>
      <c r="I118" s="78">
        <f t="shared" si="10"/>
        <v>0</v>
      </c>
      <c r="J118" s="78">
        <f t="shared" si="11"/>
        <v>0</v>
      </c>
      <c r="K118" s="78">
        <f t="shared" si="12"/>
        <v>0</v>
      </c>
      <c r="L118" s="78">
        <f t="shared" si="13"/>
        <v>0</v>
      </c>
      <c r="M118" s="78">
        <f t="shared" si="14"/>
        <v>0</v>
      </c>
      <c r="N118" s="78">
        <f t="shared" si="15"/>
        <v>0</v>
      </c>
      <c r="O118" s="79">
        <f t="shared" si="16"/>
        <v>0</v>
      </c>
    </row>
    <row r="119" spans="2:15" s="61" customFormat="1" ht="19" customHeight="1" x14ac:dyDescent="0.2">
      <c r="B119" s="24"/>
      <c r="C119" s="24"/>
      <c r="D119" s="36"/>
      <c r="E119" s="24"/>
      <c r="F119" s="77" t="str">
        <f t="shared" si="9"/>
        <v/>
      </c>
      <c r="G119" s="24"/>
      <c r="I119" s="78">
        <f t="shared" si="10"/>
        <v>0</v>
      </c>
      <c r="J119" s="78">
        <f t="shared" si="11"/>
        <v>0</v>
      </c>
      <c r="K119" s="78">
        <f t="shared" si="12"/>
        <v>0</v>
      </c>
      <c r="L119" s="78">
        <f t="shared" si="13"/>
        <v>0</v>
      </c>
      <c r="M119" s="78">
        <f t="shared" si="14"/>
        <v>0</v>
      </c>
      <c r="N119" s="78">
        <f t="shared" si="15"/>
        <v>0</v>
      </c>
      <c r="O119" s="79">
        <f t="shared" si="16"/>
        <v>0</v>
      </c>
    </row>
    <row r="120" spans="2:15" s="61" customFormat="1" ht="19" customHeight="1" x14ac:dyDescent="0.2">
      <c r="B120" s="24"/>
      <c r="C120" s="24"/>
      <c r="D120" s="36"/>
      <c r="E120" s="24"/>
      <c r="F120" s="77" t="str">
        <f t="shared" si="9"/>
        <v/>
      </c>
      <c r="G120" s="24"/>
      <c r="I120" s="78">
        <f t="shared" si="10"/>
        <v>0</v>
      </c>
      <c r="J120" s="78">
        <f t="shared" si="11"/>
        <v>0</v>
      </c>
      <c r="K120" s="78">
        <f t="shared" si="12"/>
        <v>0</v>
      </c>
      <c r="L120" s="78">
        <f t="shared" si="13"/>
        <v>0</v>
      </c>
      <c r="M120" s="78">
        <f t="shared" si="14"/>
        <v>0</v>
      </c>
      <c r="N120" s="78">
        <f t="shared" si="15"/>
        <v>0</v>
      </c>
      <c r="O120" s="79">
        <f t="shared" si="16"/>
        <v>0</v>
      </c>
    </row>
    <row r="121" spans="2:15" s="61" customFormat="1" ht="19" customHeight="1" x14ac:dyDescent="0.2">
      <c r="B121" s="24"/>
      <c r="C121" s="24"/>
      <c r="D121" s="36"/>
      <c r="E121" s="24"/>
      <c r="F121" s="77" t="str">
        <f t="shared" si="9"/>
        <v/>
      </c>
      <c r="G121" s="24"/>
      <c r="I121" s="78">
        <f t="shared" si="10"/>
        <v>0</v>
      </c>
      <c r="J121" s="78">
        <f t="shared" si="11"/>
        <v>0</v>
      </c>
      <c r="K121" s="78">
        <f t="shared" si="12"/>
        <v>0</v>
      </c>
      <c r="L121" s="78">
        <f t="shared" si="13"/>
        <v>0</v>
      </c>
      <c r="M121" s="78">
        <f t="shared" si="14"/>
        <v>0</v>
      </c>
      <c r="N121" s="78">
        <f t="shared" si="15"/>
        <v>0</v>
      </c>
      <c r="O121" s="79">
        <f t="shared" si="16"/>
        <v>0</v>
      </c>
    </row>
    <row r="122" spans="2:15" s="61" customFormat="1" ht="19" customHeight="1" x14ac:dyDescent="0.2">
      <c r="B122" s="24"/>
      <c r="C122" s="24"/>
      <c r="D122" s="36"/>
      <c r="E122" s="24"/>
      <c r="F122" s="77" t="str">
        <f t="shared" si="9"/>
        <v/>
      </c>
      <c r="G122" s="24"/>
      <c r="I122" s="78">
        <f t="shared" si="10"/>
        <v>0</v>
      </c>
      <c r="J122" s="78">
        <f t="shared" si="11"/>
        <v>0</v>
      </c>
      <c r="K122" s="78">
        <f t="shared" si="12"/>
        <v>0</v>
      </c>
      <c r="L122" s="78">
        <f t="shared" si="13"/>
        <v>0</v>
      </c>
      <c r="M122" s="78">
        <f t="shared" si="14"/>
        <v>0</v>
      </c>
      <c r="N122" s="78">
        <f t="shared" si="15"/>
        <v>0</v>
      </c>
      <c r="O122" s="79">
        <f t="shared" si="16"/>
        <v>0</v>
      </c>
    </row>
    <row r="123" spans="2:15" s="61" customFormat="1" ht="19" customHeight="1" x14ac:dyDescent="0.2">
      <c r="B123" s="24"/>
      <c r="C123" s="24"/>
      <c r="D123" s="36"/>
      <c r="E123" s="24"/>
      <c r="F123" s="77" t="str">
        <f t="shared" si="9"/>
        <v/>
      </c>
      <c r="G123" s="24"/>
      <c r="I123" s="78">
        <f t="shared" si="10"/>
        <v>0</v>
      </c>
      <c r="J123" s="78">
        <f t="shared" si="11"/>
        <v>0</v>
      </c>
      <c r="K123" s="78">
        <f t="shared" si="12"/>
        <v>0</v>
      </c>
      <c r="L123" s="78">
        <f t="shared" si="13"/>
        <v>0</v>
      </c>
      <c r="M123" s="78">
        <f t="shared" si="14"/>
        <v>0</v>
      </c>
      <c r="N123" s="78">
        <f t="shared" si="15"/>
        <v>0</v>
      </c>
      <c r="O123" s="79">
        <f t="shared" si="16"/>
        <v>0</v>
      </c>
    </row>
    <row r="124" spans="2:15" s="61" customFormat="1" ht="19" customHeight="1" x14ac:dyDescent="0.2">
      <c r="B124" s="24"/>
      <c r="C124" s="24"/>
      <c r="D124" s="36"/>
      <c r="E124" s="24"/>
      <c r="F124" s="77" t="str">
        <f t="shared" si="9"/>
        <v/>
      </c>
      <c r="G124" s="24"/>
      <c r="I124" s="78">
        <f t="shared" si="10"/>
        <v>0</v>
      </c>
      <c r="J124" s="78">
        <f t="shared" si="11"/>
        <v>0</v>
      </c>
      <c r="K124" s="78">
        <f t="shared" si="12"/>
        <v>0</v>
      </c>
      <c r="L124" s="78">
        <f t="shared" si="13"/>
        <v>0</v>
      </c>
      <c r="M124" s="78">
        <f t="shared" si="14"/>
        <v>0</v>
      </c>
      <c r="N124" s="78">
        <f t="shared" si="15"/>
        <v>0</v>
      </c>
      <c r="O124" s="79">
        <f t="shared" si="16"/>
        <v>0</v>
      </c>
    </row>
    <row r="125" spans="2:15" s="61" customFormat="1" ht="19" customHeight="1" x14ac:dyDescent="0.2">
      <c r="B125" s="24"/>
      <c r="C125" s="24"/>
      <c r="D125" s="36"/>
      <c r="E125" s="24"/>
      <c r="F125" s="77" t="str">
        <f t="shared" si="9"/>
        <v/>
      </c>
      <c r="G125" s="24"/>
      <c r="I125" s="78">
        <f t="shared" si="10"/>
        <v>0</v>
      </c>
      <c r="J125" s="78">
        <f t="shared" si="11"/>
        <v>0</v>
      </c>
      <c r="K125" s="78">
        <f t="shared" si="12"/>
        <v>0</v>
      </c>
      <c r="L125" s="78">
        <f t="shared" si="13"/>
        <v>0</v>
      </c>
      <c r="M125" s="78">
        <f t="shared" si="14"/>
        <v>0</v>
      </c>
      <c r="N125" s="78">
        <f t="shared" si="15"/>
        <v>0</v>
      </c>
      <c r="O125" s="79">
        <f t="shared" si="16"/>
        <v>0</v>
      </c>
    </row>
    <row r="126" spans="2:15" s="61" customFormat="1" ht="19" customHeight="1" x14ac:dyDescent="0.2">
      <c r="B126" s="24"/>
      <c r="C126" s="24"/>
      <c r="D126" s="36"/>
      <c r="E126" s="24"/>
      <c r="F126" s="77" t="str">
        <f t="shared" si="9"/>
        <v/>
      </c>
      <c r="G126" s="24"/>
      <c r="I126" s="78">
        <f t="shared" si="10"/>
        <v>0</v>
      </c>
      <c r="J126" s="78">
        <f t="shared" si="11"/>
        <v>0</v>
      </c>
      <c r="K126" s="78">
        <f t="shared" si="12"/>
        <v>0</v>
      </c>
      <c r="L126" s="78">
        <f t="shared" si="13"/>
        <v>0</v>
      </c>
      <c r="M126" s="78">
        <f t="shared" si="14"/>
        <v>0</v>
      </c>
      <c r="N126" s="78">
        <f t="shared" si="15"/>
        <v>0</v>
      </c>
      <c r="O126" s="79">
        <f t="shared" si="16"/>
        <v>0</v>
      </c>
    </row>
    <row r="127" spans="2:15" s="61" customFormat="1" ht="19" customHeight="1" x14ac:dyDescent="0.2">
      <c r="B127" s="24"/>
      <c r="C127" s="24"/>
      <c r="D127" s="36"/>
      <c r="E127" s="24"/>
      <c r="F127" s="77" t="str">
        <f t="shared" si="9"/>
        <v/>
      </c>
      <c r="G127" s="24"/>
      <c r="I127" s="78">
        <f t="shared" si="10"/>
        <v>0</v>
      </c>
      <c r="J127" s="78">
        <f t="shared" si="11"/>
        <v>0</v>
      </c>
      <c r="K127" s="78">
        <f t="shared" si="12"/>
        <v>0</v>
      </c>
      <c r="L127" s="78">
        <f t="shared" si="13"/>
        <v>0</v>
      </c>
      <c r="M127" s="78">
        <f t="shared" si="14"/>
        <v>0</v>
      </c>
      <c r="N127" s="78">
        <f t="shared" si="15"/>
        <v>0</v>
      </c>
      <c r="O127" s="79">
        <f t="shared" si="16"/>
        <v>0</v>
      </c>
    </row>
    <row r="128" spans="2:15" s="61" customFormat="1" ht="19" customHeight="1" x14ac:dyDescent="0.2">
      <c r="B128" s="24"/>
      <c r="C128" s="24"/>
      <c r="D128" s="36"/>
      <c r="E128" s="24"/>
      <c r="F128" s="77" t="str">
        <f t="shared" si="9"/>
        <v/>
      </c>
      <c r="G128" s="24"/>
      <c r="I128" s="78">
        <f t="shared" si="10"/>
        <v>0</v>
      </c>
      <c r="J128" s="78">
        <f t="shared" si="11"/>
        <v>0</v>
      </c>
      <c r="K128" s="78">
        <f t="shared" si="12"/>
        <v>0</v>
      </c>
      <c r="L128" s="78">
        <f t="shared" si="13"/>
        <v>0</v>
      </c>
      <c r="M128" s="78">
        <f t="shared" si="14"/>
        <v>0</v>
      </c>
      <c r="N128" s="78">
        <f t="shared" si="15"/>
        <v>0</v>
      </c>
      <c r="O128" s="79">
        <f t="shared" si="16"/>
        <v>0</v>
      </c>
    </row>
    <row r="129" spans="2:15" s="61" customFormat="1" ht="19" customHeight="1" x14ac:dyDescent="0.2">
      <c r="B129" s="24"/>
      <c r="C129" s="24"/>
      <c r="D129" s="36"/>
      <c r="E129" s="24"/>
      <c r="F129" s="77" t="str">
        <f t="shared" si="9"/>
        <v/>
      </c>
      <c r="G129" s="24"/>
      <c r="I129" s="78">
        <f t="shared" si="10"/>
        <v>0</v>
      </c>
      <c r="J129" s="78">
        <f t="shared" si="11"/>
        <v>0</v>
      </c>
      <c r="K129" s="78">
        <f t="shared" si="12"/>
        <v>0</v>
      </c>
      <c r="L129" s="78">
        <f t="shared" si="13"/>
        <v>0</v>
      </c>
      <c r="M129" s="78">
        <f t="shared" si="14"/>
        <v>0</v>
      </c>
      <c r="N129" s="78">
        <f t="shared" si="15"/>
        <v>0</v>
      </c>
      <c r="O129" s="79">
        <f t="shared" si="16"/>
        <v>0</v>
      </c>
    </row>
    <row r="130" spans="2:15" s="61" customFormat="1" ht="19" customHeight="1" x14ac:dyDescent="0.2">
      <c r="B130" s="24"/>
      <c r="C130" s="24"/>
      <c r="D130" s="36"/>
      <c r="E130" s="24"/>
      <c r="F130" s="77" t="str">
        <f t="shared" si="9"/>
        <v/>
      </c>
      <c r="G130" s="24"/>
      <c r="I130" s="78">
        <f t="shared" si="10"/>
        <v>0</v>
      </c>
      <c r="J130" s="78">
        <f t="shared" si="11"/>
        <v>0</v>
      </c>
      <c r="K130" s="78">
        <f t="shared" si="12"/>
        <v>0</v>
      </c>
      <c r="L130" s="78">
        <f t="shared" si="13"/>
        <v>0</v>
      </c>
      <c r="M130" s="78">
        <f t="shared" si="14"/>
        <v>0</v>
      </c>
      <c r="N130" s="78">
        <f t="shared" si="15"/>
        <v>0</v>
      </c>
      <c r="O130" s="79">
        <f t="shared" si="16"/>
        <v>0</v>
      </c>
    </row>
    <row r="131" spans="2:15" s="61" customFormat="1" ht="19" customHeight="1" x14ac:dyDescent="0.2">
      <c r="B131" s="24"/>
      <c r="C131" s="24"/>
      <c r="D131" s="36"/>
      <c r="E131" s="24"/>
      <c r="F131" s="77" t="str">
        <f t="shared" si="9"/>
        <v/>
      </c>
      <c r="G131" s="24"/>
      <c r="I131" s="78">
        <f t="shared" si="10"/>
        <v>0</v>
      </c>
      <c r="J131" s="78">
        <f t="shared" si="11"/>
        <v>0</v>
      </c>
      <c r="K131" s="78">
        <f t="shared" si="12"/>
        <v>0</v>
      </c>
      <c r="L131" s="78">
        <f t="shared" si="13"/>
        <v>0</v>
      </c>
      <c r="M131" s="78">
        <f t="shared" si="14"/>
        <v>0</v>
      </c>
      <c r="N131" s="78">
        <f t="shared" si="15"/>
        <v>0</v>
      </c>
      <c r="O131" s="79">
        <f t="shared" si="16"/>
        <v>0</v>
      </c>
    </row>
    <row r="132" spans="2:15" s="61" customFormat="1" ht="19" customHeight="1" x14ac:dyDescent="0.2">
      <c r="B132" s="24"/>
      <c r="C132" s="24"/>
      <c r="D132" s="36"/>
      <c r="E132" s="24"/>
      <c r="F132" s="77" t="str">
        <f t="shared" si="9"/>
        <v/>
      </c>
      <c r="G132" s="24"/>
      <c r="I132" s="78">
        <f t="shared" si="10"/>
        <v>0</v>
      </c>
      <c r="J132" s="78">
        <f t="shared" si="11"/>
        <v>0</v>
      </c>
      <c r="K132" s="78">
        <f t="shared" si="12"/>
        <v>0</v>
      </c>
      <c r="L132" s="78">
        <f t="shared" si="13"/>
        <v>0</v>
      </c>
      <c r="M132" s="78">
        <f t="shared" si="14"/>
        <v>0</v>
      </c>
      <c r="N132" s="78">
        <f t="shared" si="15"/>
        <v>0</v>
      </c>
      <c r="O132" s="79">
        <f t="shared" si="16"/>
        <v>0</v>
      </c>
    </row>
    <row r="133" spans="2:15" s="61" customFormat="1" ht="19" customHeight="1" x14ac:dyDescent="0.2">
      <c r="B133" s="24"/>
      <c r="C133" s="24"/>
      <c r="D133" s="36"/>
      <c r="E133" s="24"/>
      <c r="F133" s="77" t="str">
        <f t="shared" si="9"/>
        <v/>
      </c>
      <c r="G133" s="24"/>
      <c r="I133" s="78">
        <f t="shared" si="10"/>
        <v>0</v>
      </c>
      <c r="J133" s="78">
        <f t="shared" si="11"/>
        <v>0</v>
      </c>
      <c r="K133" s="78">
        <f t="shared" si="12"/>
        <v>0</v>
      </c>
      <c r="L133" s="78">
        <f t="shared" si="13"/>
        <v>0</v>
      </c>
      <c r="M133" s="78">
        <f t="shared" si="14"/>
        <v>0</v>
      </c>
      <c r="N133" s="78">
        <f t="shared" si="15"/>
        <v>0</v>
      </c>
      <c r="O133" s="79">
        <f t="shared" si="16"/>
        <v>0</v>
      </c>
    </row>
    <row r="134" spans="2:15" s="61" customFormat="1" ht="19" customHeight="1" x14ac:dyDescent="0.2">
      <c r="B134" s="24"/>
      <c r="C134" s="24"/>
      <c r="D134" s="36"/>
      <c r="E134" s="24"/>
      <c r="F134" s="77" t="str">
        <f t="shared" si="9"/>
        <v/>
      </c>
      <c r="G134" s="24"/>
      <c r="I134" s="78">
        <f t="shared" si="10"/>
        <v>0</v>
      </c>
      <c r="J134" s="78">
        <f t="shared" si="11"/>
        <v>0</v>
      </c>
      <c r="K134" s="78">
        <f t="shared" si="12"/>
        <v>0</v>
      </c>
      <c r="L134" s="78">
        <f t="shared" si="13"/>
        <v>0</v>
      </c>
      <c r="M134" s="78">
        <f t="shared" si="14"/>
        <v>0</v>
      </c>
      <c r="N134" s="78">
        <f t="shared" si="15"/>
        <v>0</v>
      </c>
      <c r="O134" s="79">
        <f t="shared" si="16"/>
        <v>0</v>
      </c>
    </row>
    <row r="135" spans="2:15" s="61" customFormat="1" ht="19" customHeight="1" x14ac:dyDescent="0.2">
      <c r="B135" s="24"/>
      <c r="C135" s="24"/>
      <c r="D135" s="36"/>
      <c r="E135" s="24"/>
      <c r="F135" s="77" t="str">
        <f t="shared" si="9"/>
        <v/>
      </c>
      <c r="G135" s="24"/>
      <c r="I135" s="78">
        <f t="shared" si="10"/>
        <v>0</v>
      </c>
      <c r="J135" s="78">
        <f t="shared" si="11"/>
        <v>0</v>
      </c>
      <c r="K135" s="78">
        <f t="shared" si="12"/>
        <v>0</v>
      </c>
      <c r="L135" s="78">
        <f t="shared" si="13"/>
        <v>0</v>
      </c>
      <c r="M135" s="78">
        <f t="shared" si="14"/>
        <v>0</v>
      </c>
      <c r="N135" s="78">
        <f t="shared" si="15"/>
        <v>0</v>
      </c>
      <c r="O135" s="79">
        <f t="shared" si="16"/>
        <v>0</v>
      </c>
    </row>
    <row r="136" spans="2:15" s="61" customFormat="1" ht="19" customHeight="1" x14ac:dyDescent="0.2">
      <c r="B136" s="24"/>
      <c r="C136" s="24"/>
      <c r="D136" s="36"/>
      <c r="E136" s="24"/>
      <c r="F136" s="77" t="str">
        <f t="shared" si="9"/>
        <v/>
      </c>
      <c r="G136" s="24"/>
      <c r="I136" s="78">
        <f t="shared" si="10"/>
        <v>0</v>
      </c>
      <c r="J136" s="78">
        <f t="shared" si="11"/>
        <v>0</v>
      </c>
      <c r="K136" s="78">
        <f t="shared" si="12"/>
        <v>0</v>
      </c>
      <c r="L136" s="78">
        <f t="shared" si="13"/>
        <v>0</v>
      </c>
      <c r="M136" s="78">
        <f t="shared" si="14"/>
        <v>0</v>
      </c>
      <c r="N136" s="78">
        <f t="shared" si="15"/>
        <v>0</v>
      </c>
      <c r="O136" s="79">
        <f t="shared" si="16"/>
        <v>0</v>
      </c>
    </row>
    <row r="137" spans="2:15" s="61" customFormat="1" ht="19" customHeight="1" x14ac:dyDescent="0.2">
      <c r="B137" s="24"/>
      <c r="C137" s="24"/>
      <c r="D137" s="36"/>
      <c r="E137" s="24"/>
      <c r="F137" s="77" t="str">
        <f t="shared" si="9"/>
        <v/>
      </c>
      <c r="G137" s="24"/>
      <c r="I137" s="78">
        <f t="shared" si="10"/>
        <v>0</v>
      </c>
      <c r="J137" s="78">
        <f t="shared" si="11"/>
        <v>0</v>
      </c>
      <c r="K137" s="78">
        <f t="shared" si="12"/>
        <v>0</v>
      </c>
      <c r="L137" s="78">
        <f t="shared" si="13"/>
        <v>0</v>
      </c>
      <c r="M137" s="78">
        <f t="shared" si="14"/>
        <v>0</v>
      </c>
      <c r="N137" s="78">
        <f t="shared" si="15"/>
        <v>0</v>
      </c>
      <c r="O137" s="79">
        <f t="shared" si="16"/>
        <v>0</v>
      </c>
    </row>
    <row r="138" spans="2:15" s="61" customFormat="1" ht="19" customHeight="1" x14ac:dyDescent="0.2">
      <c r="B138" s="24"/>
      <c r="C138" s="24"/>
      <c r="D138" s="36"/>
      <c r="E138" s="24"/>
      <c r="F138" s="77" t="str">
        <f t="shared" si="9"/>
        <v/>
      </c>
      <c r="G138" s="24"/>
      <c r="I138" s="78">
        <f t="shared" si="10"/>
        <v>0</v>
      </c>
      <c r="J138" s="78">
        <f t="shared" si="11"/>
        <v>0</v>
      </c>
      <c r="K138" s="78">
        <f t="shared" si="12"/>
        <v>0</v>
      </c>
      <c r="L138" s="78">
        <f t="shared" si="13"/>
        <v>0</v>
      </c>
      <c r="M138" s="78">
        <f t="shared" si="14"/>
        <v>0</v>
      </c>
      <c r="N138" s="78">
        <f t="shared" si="15"/>
        <v>0</v>
      </c>
      <c r="O138" s="79">
        <f t="shared" si="16"/>
        <v>0</v>
      </c>
    </row>
    <row r="139" spans="2:15" s="61" customFormat="1" ht="19" customHeight="1" x14ac:dyDescent="0.2">
      <c r="B139" s="24"/>
      <c r="C139" s="24"/>
      <c r="D139" s="36"/>
      <c r="E139" s="24"/>
      <c r="F139" s="77" t="str">
        <f t="shared" ref="F139:F202" si="17">IF(E139="","",IFERROR(VLOOKUP(E139,zone,2,0),""))</f>
        <v/>
      </c>
      <c r="G139" s="24"/>
      <c r="I139" s="78">
        <f t="shared" si="10"/>
        <v>0</v>
      </c>
      <c r="J139" s="78">
        <f t="shared" si="11"/>
        <v>0</v>
      </c>
      <c r="K139" s="78">
        <f t="shared" si="12"/>
        <v>0</v>
      </c>
      <c r="L139" s="78">
        <f t="shared" si="13"/>
        <v>0</v>
      </c>
      <c r="M139" s="78">
        <f t="shared" si="14"/>
        <v>0</v>
      </c>
      <c r="N139" s="78">
        <f t="shared" si="15"/>
        <v>0</v>
      </c>
      <c r="O139" s="79">
        <f t="shared" si="16"/>
        <v>0</v>
      </c>
    </row>
    <row r="140" spans="2:15" s="61" customFormat="1" ht="19" customHeight="1" x14ac:dyDescent="0.2">
      <c r="B140" s="24"/>
      <c r="C140" s="24"/>
      <c r="D140" s="36"/>
      <c r="E140" s="24"/>
      <c r="F140" s="77" t="str">
        <f t="shared" si="17"/>
        <v/>
      </c>
      <c r="G140" s="24"/>
      <c r="I140" s="78">
        <f t="shared" ref="I140:I203" si="18">IF(B140="",0,1)</f>
        <v>0</v>
      </c>
      <c r="J140" s="78">
        <f t="shared" ref="J140:J203" si="19">IF(C140="",0,1)</f>
        <v>0</v>
      </c>
      <c r="K140" s="78">
        <f t="shared" ref="K140:K203" si="20">IF(D140="",0,1)</f>
        <v>0</v>
      </c>
      <c r="L140" s="78">
        <f t="shared" ref="L140:L203" si="21">IF(E140="",0,1)</f>
        <v>0</v>
      </c>
      <c r="M140" s="78">
        <f t="shared" ref="M140:M203" si="22">IF(F140="",0,1)</f>
        <v>0</v>
      </c>
      <c r="N140" s="78">
        <f t="shared" ref="N140:N203" si="23">IF(G140="",0,1)</f>
        <v>0</v>
      </c>
      <c r="O140" s="79">
        <f t="shared" ref="O140:O203" si="24">SUM(I140:N140)</f>
        <v>0</v>
      </c>
    </row>
    <row r="141" spans="2:15" s="61" customFormat="1" ht="19" customHeight="1" x14ac:dyDescent="0.2">
      <c r="B141" s="24"/>
      <c r="C141" s="24"/>
      <c r="D141" s="36"/>
      <c r="E141" s="24"/>
      <c r="F141" s="77" t="str">
        <f t="shared" si="17"/>
        <v/>
      </c>
      <c r="G141" s="24"/>
      <c r="I141" s="78">
        <f t="shared" si="18"/>
        <v>0</v>
      </c>
      <c r="J141" s="78">
        <f t="shared" si="19"/>
        <v>0</v>
      </c>
      <c r="K141" s="78">
        <f t="shared" si="20"/>
        <v>0</v>
      </c>
      <c r="L141" s="78">
        <f t="shared" si="21"/>
        <v>0</v>
      </c>
      <c r="M141" s="78">
        <f t="shared" si="22"/>
        <v>0</v>
      </c>
      <c r="N141" s="78">
        <f t="shared" si="23"/>
        <v>0</v>
      </c>
      <c r="O141" s="79">
        <f t="shared" si="24"/>
        <v>0</v>
      </c>
    </row>
    <row r="142" spans="2:15" s="61" customFormat="1" ht="19" customHeight="1" x14ac:dyDescent="0.2">
      <c r="B142" s="24"/>
      <c r="C142" s="24"/>
      <c r="D142" s="36"/>
      <c r="E142" s="24"/>
      <c r="F142" s="77" t="str">
        <f t="shared" si="17"/>
        <v/>
      </c>
      <c r="G142" s="24"/>
      <c r="I142" s="78">
        <f t="shared" si="18"/>
        <v>0</v>
      </c>
      <c r="J142" s="78">
        <f t="shared" si="19"/>
        <v>0</v>
      </c>
      <c r="K142" s="78">
        <f t="shared" si="20"/>
        <v>0</v>
      </c>
      <c r="L142" s="78">
        <f t="shared" si="21"/>
        <v>0</v>
      </c>
      <c r="M142" s="78">
        <f t="shared" si="22"/>
        <v>0</v>
      </c>
      <c r="N142" s="78">
        <f t="shared" si="23"/>
        <v>0</v>
      </c>
      <c r="O142" s="79">
        <f t="shared" si="24"/>
        <v>0</v>
      </c>
    </row>
    <row r="143" spans="2:15" s="61" customFormat="1" ht="19" customHeight="1" x14ac:dyDescent="0.2">
      <c r="B143" s="24"/>
      <c r="C143" s="24"/>
      <c r="D143" s="36"/>
      <c r="E143" s="24"/>
      <c r="F143" s="77" t="str">
        <f t="shared" si="17"/>
        <v/>
      </c>
      <c r="G143" s="24"/>
      <c r="I143" s="78">
        <f t="shared" si="18"/>
        <v>0</v>
      </c>
      <c r="J143" s="78">
        <f t="shared" si="19"/>
        <v>0</v>
      </c>
      <c r="K143" s="78">
        <f t="shared" si="20"/>
        <v>0</v>
      </c>
      <c r="L143" s="78">
        <f t="shared" si="21"/>
        <v>0</v>
      </c>
      <c r="M143" s="78">
        <f t="shared" si="22"/>
        <v>0</v>
      </c>
      <c r="N143" s="78">
        <f t="shared" si="23"/>
        <v>0</v>
      </c>
      <c r="O143" s="79">
        <f t="shared" si="24"/>
        <v>0</v>
      </c>
    </row>
    <row r="144" spans="2:15" s="61" customFormat="1" ht="19" customHeight="1" x14ac:dyDescent="0.2">
      <c r="B144" s="24"/>
      <c r="C144" s="24"/>
      <c r="D144" s="36"/>
      <c r="E144" s="24"/>
      <c r="F144" s="77" t="str">
        <f t="shared" si="17"/>
        <v/>
      </c>
      <c r="G144" s="24"/>
      <c r="I144" s="78">
        <f t="shared" si="18"/>
        <v>0</v>
      </c>
      <c r="J144" s="78">
        <f t="shared" si="19"/>
        <v>0</v>
      </c>
      <c r="K144" s="78">
        <f t="shared" si="20"/>
        <v>0</v>
      </c>
      <c r="L144" s="78">
        <f t="shared" si="21"/>
        <v>0</v>
      </c>
      <c r="M144" s="78">
        <f t="shared" si="22"/>
        <v>0</v>
      </c>
      <c r="N144" s="78">
        <f t="shared" si="23"/>
        <v>0</v>
      </c>
      <c r="O144" s="79">
        <f t="shared" si="24"/>
        <v>0</v>
      </c>
    </row>
    <row r="145" spans="2:15" s="61" customFormat="1" ht="19" customHeight="1" x14ac:dyDescent="0.2">
      <c r="B145" s="24"/>
      <c r="C145" s="24"/>
      <c r="D145" s="36"/>
      <c r="E145" s="24"/>
      <c r="F145" s="77" t="str">
        <f t="shared" si="17"/>
        <v/>
      </c>
      <c r="G145" s="24"/>
      <c r="I145" s="78">
        <f t="shared" si="18"/>
        <v>0</v>
      </c>
      <c r="J145" s="78">
        <f t="shared" si="19"/>
        <v>0</v>
      </c>
      <c r="K145" s="78">
        <f t="shared" si="20"/>
        <v>0</v>
      </c>
      <c r="L145" s="78">
        <f t="shared" si="21"/>
        <v>0</v>
      </c>
      <c r="M145" s="78">
        <f t="shared" si="22"/>
        <v>0</v>
      </c>
      <c r="N145" s="78">
        <f t="shared" si="23"/>
        <v>0</v>
      </c>
      <c r="O145" s="79">
        <f t="shared" si="24"/>
        <v>0</v>
      </c>
    </row>
    <row r="146" spans="2:15" s="61" customFormat="1" ht="19" customHeight="1" x14ac:dyDescent="0.2">
      <c r="B146" s="24"/>
      <c r="C146" s="24"/>
      <c r="D146" s="36"/>
      <c r="E146" s="24"/>
      <c r="F146" s="77" t="str">
        <f t="shared" si="17"/>
        <v/>
      </c>
      <c r="G146" s="24"/>
      <c r="I146" s="78">
        <f t="shared" si="18"/>
        <v>0</v>
      </c>
      <c r="J146" s="78">
        <f t="shared" si="19"/>
        <v>0</v>
      </c>
      <c r="K146" s="78">
        <f t="shared" si="20"/>
        <v>0</v>
      </c>
      <c r="L146" s="78">
        <f t="shared" si="21"/>
        <v>0</v>
      </c>
      <c r="M146" s="78">
        <f t="shared" si="22"/>
        <v>0</v>
      </c>
      <c r="N146" s="78">
        <f t="shared" si="23"/>
        <v>0</v>
      </c>
      <c r="O146" s="79">
        <f t="shared" si="24"/>
        <v>0</v>
      </c>
    </row>
    <row r="147" spans="2:15" s="61" customFormat="1" ht="19" customHeight="1" x14ac:dyDescent="0.2">
      <c r="B147" s="24"/>
      <c r="C147" s="24"/>
      <c r="D147" s="36"/>
      <c r="E147" s="24"/>
      <c r="F147" s="77" t="str">
        <f t="shared" si="17"/>
        <v/>
      </c>
      <c r="G147" s="24"/>
      <c r="I147" s="78">
        <f t="shared" si="18"/>
        <v>0</v>
      </c>
      <c r="J147" s="78">
        <f t="shared" si="19"/>
        <v>0</v>
      </c>
      <c r="K147" s="78">
        <f t="shared" si="20"/>
        <v>0</v>
      </c>
      <c r="L147" s="78">
        <f t="shared" si="21"/>
        <v>0</v>
      </c>
      <c r="M147" s="78">
        <f t="shared" si="22"/>
        <v>0</v>
      </c>
      <c r="N147" s="78">
        <f t="shared" si="23"/>
        <v>0</v>
      </c>
      <c r="O147" s="79">
        <f t="shared" si="24"/>
        <v>0</v>
      </c>
    </row>
    <row r="148" spans="2:15" s="61" customFormat="1" ht="19" customHeight="1" x14ac:dyDescent="0.2">
      <c r="B148" s="24"/>
      <c r="C148" s="24"/>
      <c r="D148" s="36"/>
      <c r="E148" s="24"/>
      <c r="F148" s="77" t="str">
        <f t="shared" si="17"/>
        <v/>
      </c>
      <c r="G148" s="24"/>
      <c r="I148" s="78">
        <f t="shared" si="18"/>
        <v>0</v>
      </c>
      <c r="J148" s="78">
        <f t="shared" si="19"/>
        <v>0</v>
      </c>
      <c r="K148" s="78">
        <f t="shared" si="20"/>
        <v>0</v>
      </c>
      <c r="L148" s="78">
        <f t="shared" si="21"/>
        <v>0</v>
      </c>
      <c r="M148" s="78">
        <f t="shared" si="22"/>
        <v>0</v>
      </c>
      <c r="N148" s="78">
        <f t="shared" si="23"/>
        <v>0</v>
      </c>
      <c r="O148" s="79">
        <f t="shared" si="24"/>
        <v>0</v>
      </c>
    </row>
    <row r="149" spans="2:15" s="61" customFormat="1" ht="19" customHeight="1" x14ac:dyDescent="0.2">
      <c r="B149" s="24"/>
      <c r="C149" s="24"/>
      <c r="D149" s="36"/>
      <c r="E149" s="24"/>
      <c r="F149" s="77" t="str">
        <f t="shared" si="17"/>
        <v/>
      </c>
      <c r="G149" s="24"/>
      <c r="I149" s="78">
        <f t="shared" si="18"/>
        <v>0</v>
      </c>
      <c r="J149" s="78">
        <f t="shared" si="19"/>
        <v>0</v>
      </c>
      <c r="K149" s="78">
        <f t="shared" si="20"/>
        <v>0</v>
      </c>
      <c r="L149" s="78">
        <f t="shared" si="21"/>
        <v>0</v>
      </c>
      <c r="M149" s="78">
        <f t="shared" si="22"/>
        <v>0</v>
      </c>
      <c r="N149" s="78">
        <f t="shared" si="23"/>
        <v>0</v>
      </c>
      <c r="O149" s="79">
        <f t="shared" si="24"/>
        <v>0</v>
      </c>
    </row>
    <row r="150" spans="2:15" s="61" customFormat="1" ht="19" customHeight="1" x14ac:dyDescent="0.2">
      <c r="B150" s="24"/>
      <c r="C150" s="24"/>
      <c r="D150" s="36"/>
      <c r="E150" s="24"/>
      <c r="F150" s="77" t="str">
        <f t="shared" si="17"/>
        <v/>
      </c>
      <c r="G150" s="24"/>
      <c r="I150" s="78">
        <f t="shared" si="18"/>
        <v>0</v>
      </c>
      <c r="J150" s="78">
        <f t="shared" si="19"/>
        <v>0</v>
      </c>
      <c r="K150" s="78">
        <f t="shared" si="20"/>
        <v>0</v>
      </c>
      <c r="L150" s="78">
        <f t="shared" si="21"/>
        <v>0</v>
      </c>
      <c r="M150" s="78">
        <f t="shared" si="22"/>
        <v>0</v>
      </c>
      <c r="N150" s="78">
        <f t="shared" si="23"/>
        <v>0</v>
      </c>
      <c r="O150" s="79">
        <f t="shared" si="24"/>
        <v>0</v>
      </c>
    </row>
    <row r="151" spans="2:15" s="61" customFormat="1" ht="19" customHeight="1" x14ac:dyDescent="0.2">
      <c r="B151" s="24"/>
      <c r="C151" s="24"/>
      <c r="D151" s="36"/>
      <c r="E151" s="24"/>
      <c r="F151" s="77" t="str">
        <f t="shared" si="17"/>
        <v/>
      </c>
      <c r="G151" s="24"/>
      <c r="I151" s="78">
        <f t="shared" si="18"/>
        <v>0</v>
      </c>
      <c r="J151" s="78">
        <f t="shared" si="19"/>
        <v>0</v>
      </c>
      <c r="K151" s="78">
        <f t="shared" si="20"/>
        <v>0</v>
      </c>
      <c r="L151" s="78">
        <f t="shared" si="21"/>
        <v>0</v>
      </c>
      <c r="M151" s="78">
        <f t="shared" si="22"/>
        <v>0</v>
      </c>
      <c r="N151" s="78">
        <f t="shared" si="23"/>
        <v>0</v>
      </c>
      <c r="O151" s="79">
        <f t="shared" si="24"/>
        <v>0</v>
      </c>
    </row>
    <row r="152" spans="2:15" s="61" customFormat="1" ht="19" customHeight="1" x14ac:dyDescent="0.2">
      <c r="B152" s="24"/>
      <c r="C152" s="24"/>
      <c r="D152" s="36"/>
      <c r="E152" s="24"/>
      <c r="F152" s="77" t="str">
        <f t="shared" si="17"/>
        <v/>
      </c>
      <c r="G152" s="24"/>
      <c r="I152" s="78">
        <f t="shared" si="18"/>
        <v>0</v>
      </c>
      <c r="J152" s="78">
        <f t="shared" si="19"/>
        <v>0</v>
      </c>
      <c r="K152" s="78">
        <f t="shared" si="20"/>
        <v>0</v>
      </c>
      <c r="L152" s="78">
        <f t="shared" si="21"/>
        <v>0</v>
      </c>
      <c r="M152" s="78">
        <f t="shared" si="22"/>
        <v>0</v>
      </c>
      <c r="N152" s="78">
        <f t="shared" si="23"/>
        <v>0</v>
      </c>
      <c r="O152" s="79">
        <f t="shared" si="24"/>
        <v>0</v>
      </c>
    </row>
    <row r="153" spans="2:15" s="61" customFormat="1" ht="19" customHeight="1" x14ac:dyDescent="0.2">
      <c r="B153" s="24"/>
      <c r="C153" s="24"/>
      <c r="D153" s="36"/>
      <c r="E153" s="24"/>
      <c r="F153" s="77" t="str">
        <f t="shared" si="17"/>
        <v/>
      </c>
      <c r="G153" s="24"/>
      <c r="I153" s="78">
        <f t="shared" si="18"/>
        <v>0</v>
      </c>
      <c r="J153" s="78">
        <f t="shared" si="19"/>
        <v>0</v>
      </c>
      <c r="K153" s="78">
        <f t="shared" si="20"/>
        <v>0</v>
      </c>
      <c r="L153" s="78">
        <f t="shared" si="21"/>
        <v>0</v>
      </c>
      <c r="M153" s="78">
        <f t="shared" si="22"/>
        <v>0</v>
      </c>
      <c r="N153" s="78">
        <f t="shared" si="23"/>
        <v>0</v>
      </c>
      <c r="O153" s="79">
        <f t="shared" si="24"/>
        <v>0</v>
      </c>
    </row>
    <row r="154" spans="2:15" s="61" customFormat="1" ht="19" customHeight="1" x14ac:dyDescent="0.2">
      <c r="B154" s="24"/>
      <c r="C154" s="24"/>
      <c r="D154" s="36"/>
      <c r="E154" s="24"/>
      <c r="F154" s="77" t="str">
        <f t="shared" si="17"/>
        <v/>
      </c>
      <c r="G154" s="24"/>
      <c r="I154" s="78">
        <f t="shared" si="18"/>
        <v>0</v>
      </c>
      <c r="J154" s="78">
        <f t="shared" si="19"/>
        <v>0</v>
      </c>
      <c r="K154" s="78">
        <f t="shared" si="20"/>
        <v>0</v>
      </c>
      <c r="L154" s="78">
        <f t="shared" si="21"/>
        <v>0</v>
      </c>
      <c r="M154" s="78">
        <f t="shared" si="22"/>
        <v>0</v>
      </c>
      <c r="N154" s="78">
        <f t="shared" si="23"/>
        <v>0</v>
      </c>
      <c r="O154" s="79">
        <f t="shared" si="24"/>
        <v>0</v>
      </c>
    </row>
    <row r="155" spans="2:15" s="61" customFormat="1" ht="19" customHeight="1" x14ac:dyDescent="0.2">
      <c r="B155" s="24"/>
      <c r="C155" s="24"/>
      <c r="D155" s="36"/>
      <c r="E155" s="24"/>
      <c r="F155" s="77" t="str">
        <f t="shared" si="17"/>
        <v/>
      </c>
      <c r="G155" s="24"/>
      <c r="I155" s="78">
        <f t="shared" si="18"/>
        <v>0</v>
      </c>
      <c r="J155" s="78">
        <f t="shared" si="19"/>
        <v>0</v>
      </c>
      <c r="K155" s="78">
        <f t="shared" si="20"/>
        <v>0</v>
      </c>
      <c r="L155" s="78">
        <f t="shared" si="21"/>
        <v>0</v>
      </c>
      <c r="M155" s="78">
        <f t="shared" si="22"/>
        <v>0</v>
      </c>
      <c r="N155" s="78">
        <f t="shared" si="23"/>
        <v>0</v>
      </c>
      <c r="O155" s="79">
        <f t="shared" si="24"/>
        <v>0</v>
      </c>
    </row>
    <row r="156" spans="2:15" s="61" customFormat="1" ht="19" customHeight="1" x14ac:dyDescent="0.2">
      <c r="B156" s="24"/>
      <c r="C156" s="24"/>
      <c r="D156" s="36"/>
      <c r="E156" s="24"/>
      <c r="F156" s="77" t="str">
        <f t="shared" si="17"/>
        <v/>
      </c>
      <c r="G156" s="24"/>
      <c r="I156" s="78">
        <f t="shared" si="18"/>
        <v>0</v>
      </c>
      <c r="J156" s="78">
        <f t="shared" si="19"/>
        <v>0</v>
      </c>
      <c r="K156" s="78">
        <f t="shared" si="20"/>
        <v>0</v>
      </c>
      <c r="L156" s="78">
        <f t="shared" si="21"/>
        <v>0</v>
      </c>
      <c r="M156" s="78">
        <f t="shared" si="22"/>
        <v>0</v>
      </c>
      <c r="N156" s="78">
        <f t="shared" si="23"/>
        <v>0</v>
      </c>
      <c r="O156" s="79">
        <f t="shared" si="24"/>
        <v>0</v>
      </c>
    </row>
    <row r="157" spans="2:15" s="61" customFormat="1" ht="19" customHeight="1" x14ac:dyDescent="0.2">
      <c r="B157" s="24"/>
      <c r="C157" s="24"/>
      <c r="D157" s="36"/>
      <c r="E157" s="24"/>
      <c r="F157" s="77" t="str">
        <f t="shared" si="17"/>
        <v/>
      </c>
      <c r="G157" s="24"/>
      <c r="I157" s="78">
        <f t="shared" si="18"/>
        <v>0</v>
      </c>
      <c r="J157" s="78">
        <f t="shared" si="19"/>
        <v>0</v>
      </c>
      <c r="K157" s="78">
        <f t="shared" si="20"/>
        <v>0</v>
      </c>
      <c r="L157" s="78">
        <f t="shared" si="21"/>
        <v>0</v>
      </c>
      <c r="M157" s="78">
        <f t="shared" si="22"/>
        <v>0</v>
      </c>
      <c r="N157" s="78">
        <f t="shared" si="23"/>
        <v>0</v>
      </c>
      <c r="O157" s="79">
        <f t="shared" si="24"/>
        <v>0</v>
      </c>
    </row>
    <row r="158" spans="2:15" s="61" customFormat="1" ht="19" customHeight="1" x14ac:dyDescent="0.2">
      <c r="B158" s="24"/>
      <c r="C158" s="24"/>
      <c r="D158" s="36"/>
      <c r="E158" s="24"/>
      <c r="F158" s="77" t="str">
        <f t="shared" si="17"/>
        <v/>
      </c>
      <c r="G158" s="24"/>
      <c r="I158" s="78">
        <f t="shared" si="18"/>
        <v>0</v>
      </c>
      <c r="J158" s="78">
        <f t="shared" si="19"/>
        <v>0</v>
      </c>
      <c r="K158" s="78">
        <f t="shared" si="20"/>
        <v>0</v>
      </c>
      <c r="L158" s="78">
        <f t="shared" si="21"/>
        <v>0</v>
      </c>
      <c r="M158" s="78">
        <f t="shared" si="22"/>
        <v>0</v>
      </c>
      <c r="N158" s="78">
        <f t="shared" si="23"/>
        <v>0</v>
      </c>
      <c r="O158" s="79">
        <f t="shared" si="24"/>
        <v>0</v>
      </c>
    </row>
    <row r="159" spans="2:15" s="61" customFormat="1" ht="19" customHeight="1" x14ac:dyDescent="0.2">
      <c r="B159" s="24"/>
      <c r="C159" s="24"/>
      <c r="D159" s="36"/>
      <c r="E159" s="24"/>
      <c r="F159" s="77" t="str">
        <f t="shared" si="17"/>
        <v/>
      </c>
      <c r="G159" s="24"/>
      <c r="I159" s="78">
        <f t="shared" si="18"/>
        <v>0</v>
      </c>
      <c r="J159" s="78">
        <f t="shared" si="19"/>
        <v>0</v>
      </c>
      <c r="K159" s="78">
        <f t="shared" si="20"/>
        <v>0</v>
      </c>
      <c r="L159" s="78">
        <f t="shared" si="21"/>
        <v>0</v>
      </c>
      <c r="M159" s="78">
        <f t="shared" si="22"/>
        <v>0</v>
      </c>
      <c r="N159" s="78">
        <f t="shared" si="23"/>
        <v>0</v>
      </c>
      <c r="O159" s="79">
        <f t="shared" si="24"/>
        <v>0</v>
      </c>
    </row>
    <row r="160" spans="2:15" s="61" customFormat="1" ht="19" customHeight="1" x14ac:dyDescent="0.2">
      <c r="B160" s="24"/>
      <c r="C160" s="24"/>
      <c r="D160" s="36"/>
      <c r="E160" s="24"/>
      <c r="F160" s="77" t="str">
        <f t="shared" si="17"/>
        <v/>
      </c>
      <c r="G160" s="24"/>
      <c r="I160" s="78">
        <f t="shared" si="18"/>
        <v>0</v>
      </c>
      <c r="J160" s="78">
        <f t="shared" si="19"/>
        <v>0</v>
      </c>
      <c r="K160" s="78">
        <f t="shared" si="20"/>
        <v>0</v>
      </c>
      <c r="L160" s="78">
        <f t="shared" si="21"/>
        <v>0</v>
      </c>
      <c r="M160" s="78">
        <f t="shared" si="22"/>
        <v>0</v>
      </c>
      <c r="N160" s="78">
        <f t="shared" si="23"/>
        <v>0</v>
      </c>
      <c r="O160" s="79">
        <f t="shared" si="24"/>
        <v>0</v>
      </c>
    </row>
    <row r="161" spans="2:15" s="61" customFormat="1" ht="19" customHeight="1" x14ac:dyDescent="0.2">
      <c r="B161" s="24"/>
      <c r="C161" s="24"/>
      <c r="D161" s="36"/>
      <c r="E161" s="24"/>
      <c r="F161" s="77" t="str">
        <f t="shared" si="17"/>
        <v/>
      </c>
      <c r="G161" s="24"/>
      <c r="I161" s="78">
        <f t="shared" si="18"/>
        <v>0</v>
      </c>
      <c r="J161" s="78">
        <f t="shared" si="19"/>
        <v>0</v>
      </c>
      <c r="K161" s="78">
        <f t="shared" si="20"/>
        <v>0</v>
      </c>
      <c r="L161" s="78">
        <f t="shared" si="21"/>
        <v>0</v>
      </c>
      <c r="M161" s="78">
        <f t="shared" si="22"/>
        <v>0</v>
      </c>
      <c r="N161" s="78">
        <f t="shared" si="23"/>
        <v>0</v>
      </c>
      <c r="O161" s="79">
        <f t="shared" si="24"/>
        <v>0</v>
      </c>
    </row>
    <row r="162" spans="2:15" s="61" customFormat="1" ht="19" customHeight="1" x14ac:dyDescent="0.2">
      <c r="B162" s="24"/>
      <c r="C162" s="24"/>
      <c r="D162" s="36"/>
      <c r="E162" s="24"/>
      <c r="F162" s="77" t="str">
        <f t="shared" si="17"/>
        <v/>
      </c>
      <c r="G162" s="24"/>
      <c r="I162" s="78">
        <f t="shared" si="18"/>
        <v>0</v>
      </c>
      <c r="J162" s="78">
        <f t="shared" si="19"/>
        <v>0</v>
      </c>
      <c r="K162" s="78">
        <f t="shared" si="20"/>
        <v>0</v>
      </c>
      <c r="L162" s="78">
        <f t="shared" si="21"/>
        <v>0</v>
      </c>
      <c r="M162" s="78">
        <f t="shared" si="22"/>
        <v>0</v>
      </c>
      <c r="N162" s="78">
        <f t="shared" si="23"/>
        <v>0</v>
      </c>
      <c r="O162" s="79">
        <f t="shared" si="24"/>
        <v>0</v>
      </c>
    </row>
    <row r="163" spans="2:15" s="61" customFormat="1" ht="19" customHeight="1" x14ac:dyDescent="0.2">
      <c r="B163" s="24"/>
      <c r="C163" s="24"/>
      <c r="D163" s="36"/>
      <c r="E163" s="24"/>
      <c r="F163" s="77" t="str">
        <f t="shared" si="17"/>
        <v/>
      </c>
      <c r="G163" s="24"/>
      <c r="I163" s="78">
        <f t="shared" si="18"/>
        <v>0</v>
      </c>
      <c r="J163" s="78">
        <f t="shared" si="19"/>
        <v>0</v>
      </c>
      <c r="K163" s="78">
        <f t="shared" si="20"/>
        <v>0</v>
      </c>
      <c r="L163" s="78">
        <f t="shared" si="21"/>
        <v>0</v>
      </c>
      <c r="M163" s="78">
        <f t="shared" si="22"/>
        <v>0</v>
      </c>
      <c r="N163" s="78">
        <f t="shared" si="23"/>
        <v>0</v>
      </c>
      <c r="O163" s="79">
        <f t="shared" si="24"/>
        <v>0</v>
      </c>
    </row>
    <row r="164" spans="2:15" s="61" customFormat="1" ht="19" customHeight="1" x14ac:dyDescent="0.2">
      <c r="B164" s="24"/>
      <c r="C164" s="24"/>
      <c r="D164" s="36"/>
      <c r="E164" s="24"/>
      <c r="F164" s="77" t="str">
        <f t="shared" si="17"/>
        <v/>
      </c>
      <c r="G164" s="24"/>
      <c r="I164" s="78">
        <f t="shared" si="18"/>
        <v>0</v>
      </c>
      <c r="J164" s="78">
        <f t="shared" si="19"/>
        <v>0</v>
      </c>
      <c r="K164" s="78">
        <f t="shared" si="20"/>
        <v>0</v>
      </c>
      <c r="L164" s="78">
        <f t="shared" si="21"/>
        <v>0</v>
      </c>
      <c r="M164" s="78">
        <f t="shared" si="22"/>
        <v>0</v>
      </c>
      <c r="N164" s="78">
        <f t="shared" si="23"/>
        <v>0</v>
      </c>
      <c r="O164" s="79">
        <f t="shared" si="24"/>
        <v>0</v>
      </c>
    </row>
    <row r="165" spans="2:15" s="61" customFormat="1" ht="19" customHeight="1" x14ac:dyDescent="0.2">
      <c r="B165" s="24"/>
      <c r="C165" s="24"/>
      <c r="D165" s="36"/>
      <c r="E165" s="24"/>
      <c r="F165" s="77" t="str">
        <f t="shared" si="17"/>
        <v/>
      </c>
      <c r="G165" s="24"/>
      <c r="I165" s="78">
        <f t="shared" si="18"/>
        <v>0</v>
      </c>
      <c r="J165" s="78">
        <f t="shared" si="19"/>
        <v>0</v>
      </c>
      <c r="K165" s="78">
        <f t="shared" si="20"/>
        <v>0</v>
      </c>
      <c r="L165" s="78">
        <f t="shared" si="21"/>
        <v>0</v>
      </c>
      <c r="M165" s="78">
        <f t="shared" si="22"/>
        <v>0</v>
      </c>
      <c r="N165" s="78">
        <f t="shared" si="23"/>
        <v>0</v>
      </c>
      <c r="O165" s="79">
        <f t="shared" si="24"/>
        <v>0</v>
      </c>
    </row>
    <row r="166" spans="2:15" s="61" customFormat="1" ht="19" customHeight="1" x14ac:dyDescent="0.2">
      <c r="B166" s="24"/>
      <c r="C166" s="24"/>
      <c r="D166" s="36"/>
      <c r="E166" s="24"/>
      <c r="F166" s="77" t="str">
        <f t="shared" si="17"/>
        <v/>
      </c>
      <c r="G166" s="24"/>
      <c r="I166" s="78">
        <f t="shared" si="18"/>
        <v>0</v>
      </c>
      <c r="J166" s="78">
        <f t="shared" si="19"/>
        <v>0</v>
      </c>
      <c r="K166" s="78">
        <f t="shared" si="20"/>
        <v>0</v>
      </c>
      <c r="L166" s="78">
        <f t="shared" si="21"/>
        <v>0</v>
      </c>
      <c r="M166" s="78">
        <f t="shared" si="22"/>
        <v>0</v>
      </c>
      <c r="N166" s="78">
        <f t="shared" si="23"/>
        <v>0</v>
      </c>
      <c r="O166" s="79">
        <f t="shared" si="24"/>
        <v>0</v>
      </c>
    </row>
    <row r="167" spans="2:15" s="61" customFormat="1" ht="19" customHeight="1" x14ac:dyDescent="0.2">
      <c r="B167" s="24"/>
      <c r="C167" s="24"/>
      <c r="D167" s="36"/>
      <c r="E167" s="24"/>
      <c r="F167" s="77" t="str">
        <f t="shared" si="17"/>
        <v/>
      </c>
      <c r="G167" s="24"/>
      <c r="I167" s="78">
        <f t="shared" si="18"/>
        <v>0</v>
      </c>
      <c r="J167" s="78">
        <f t="shared" si="19"/>
        <v>0</v>
      </c>
      <c r="K167" s="78">
        <f t="shared" si="20"/>
        <v>0</v>
      </c>
      <c r="L167" s="78">
        <f t="shared" si="21"/>
        <v>0</v>
      </c>
      <c r="M167" s="78">
        <f t="shared" si="22"/>
        <v>0</v>
      </c>
      <c r="N167" s="78">
        <f t="shared" si="23"/>
        <v>0</v>
      </c>
      <c r="O167" s="79">
        <f t="shared" si="24"/>
        <v>0</v>
      </c>
    </row>
    <row r="168" spans="2:15" s="61" customFormat="1" ht="19" customHeight="1" x14ac:dyDescent="0.2">
      <c r="B168" s="24"/>
      <c r="C168" s="24"/>
      <c r="D168" s="36"/>
      <c r="E168" s="24"/>
      <c r="F168" s="77" t="str">
        <f t="shared" si="17"/>
        <v/>
      </c>
      <c r="G168" s="24"/>
      <c r="I168" s="78">
        <f t="shared" si="18"/>
        <v>0</v>
      </c>
      <c r="J168" s="78">
        <f t="shared" si="19"/>
        <v>0</v>
      </c>
      <c r="K168" s="78">
        <f t="shared" si="20"/>
        <v>0</v>
      </c>
      <c r="L168" s="78">
        <f t="shared" si="21"/>
        <v>0</v>
      </c>
      <c r="M168" s="78">
        <f t="shared" si="22"/>
        <v>0</v>
      </c>
      <c r="N168" s="78">
        <f t="shared" si="23"/>
        <v>0</v>
      </c>
      <c r="O168" s="79">
        <f t="shared" si="24"/>
        <v>0</v>
      </c>
    </row>
    <row r="169" spans="2:15" s="61" customFormat="1" ht="19" customHeight="1" x14ac:dyDescent="0.2">
      <c r="B169" s="24"/>
      <c r="C169" s="24"/>
      <c r="D169" s="36"/>
      <c r="E169" s="24"/>
      <c r="F169" s="77" t="str">
        <f t="shared" si="17"/>
        <v/>
      </c>
      <c r="G169" s="24"/>
      <c r="I169" s="78">
        <f t="shared" si="18"/>
        <v>0</v>
      </c>
      <c r="J169" s="78">
        <f t="shared" si="19"/>
        <v>0</v>
      </c>
      <c r="K169" s="78">
        <f t="shared" si="20"/>
        <v>0</v>
      </c>
      <c r="L169" s="78">
        <f t="shared" si="21"/>
        <v>0</v>
      </c>
      <c r="M169" s="78">
        <f t="shared" si="22"/>
        <v>0</v>
      </c>
      <c r="N169" s="78">
        <f t="shared" si="23"/>
        <v>0</v>
      </c>
      <c r="O169" s="79">
        <f t="shared" si="24"/>
        <v>0</v>
      </c>
    </row>
    <row r="170" spans="2:15" s="61" customFormat="1" ht="19" customHeight="1" x14ac:dyDescent="0.2">
      <c r="B170" s="24"/>
      <c r="C170" s="24"/>
      <c r="D170" s="36"/>
      <c r="E170" s="24"/>
      <c r="F170" s="77" t="str">
        <f t="shared" si="17"/>
        <v/>
      </c>
      <c r="G170" s="24"/>
      <c r="I170" s="78">
        <f t="shared" si="18"/>
        <v>0</v>
      </c>
      <c r="J170" s="78">
        <f t="shared" si="19"/>
        <v>0</v>
      </c>
      <c r="K170" s="78">
        <f t="shared" si="20"/>
        <v>0</v>
      </c>
      <c r="L170" s="78">
        <f t="shared" si="21"/>
        <v>0</v>
      </c>
      <c r="M170" s="78">
        <f t="shared" si="22"/>
        <v>0</v>
      </c>
      <c r="N170" s="78">
        <f t="shared" si="23"/>
        <v>0</v>
      </c>
      <c r="O170" s="79">
        <f t="shared" si="24"/>
        <v>0</v>
      </c>
    </row>
    <row r="171" spans="2:15" s="61" customFormat="1" ht="19" customHeight="1" x14ac:dyDescent="0.2">
      <c r="B171" s="24"/>
      <c r="C171" s="24"/>
      <c r="D171" s="36"/>
      <c r="E171" s="24"/>
      <c r="F171" s="77" t="str">
        <f t="shared" si="17"/>
        <v/>
      </c>
      <c r="G171" s="24"/>
      <c r="I171" s="78">
        <f t="shared" si="18"/>
        <v>0</v>
      </c>
      <c r="J171" s="78">
        <f t="shared" si="19"/>
        <v>0</v>
      </c>
      <c r="K171" s="78">
        <f t="shared" si="20"/>
        <v>0</v>
      </c>
      <c r="L171" s="78">
        <f t="shared" si="21"/>
        <v>0</v>
      </c>
      <c r="M171" s="78">
        <f t="shared" si="22"/>
        <v>0</v>
      </c>
      <c r="N171" s="78">
        <f t="shared" si="23"/>
        <v>0</v>
      </c>
      <c r="O171" s="79">
        <f t="shared" si="24"/>
        <v>0</v>
      </c>
    </row>
    <row r="172" spans="2:15" s="61" customFormat="1" ht="19" customHeight="1" x14ac:dyDescent="0.2">
      <c r="B172" s="24"/>
      <c r="C172" s="24"/>
      <c r="D172" s="36"/>
      <c r="E172" s="24"/>
      <c r="F172" s="77" t="str">
        <f t="shared" si="17"/>
        <v/>
      </c>
      <c r="G172" s="24"/>
      <c r="I172" s="78">
        <f t="shared" si="18"/>
        <v>0</v>
      </c>
      <c r="J172" s="78">
        <f t="shared" si="19"/>
        <v>0</v>
      </c>
      <c r="K172" s="78">
        <f t="shared" si="20"/>
        <v>0</v>
      </c>
      <c r="L172" s="78">
        <f t="shared" si="21"/>
        <v>0</v>
      </c>
      <c r="M172" s="78">
        <f t="shared" si="22"/>
        <v>0</v>
      </c>
      <c r="N172" s="78">
        <f t="shared" si="23"/>
        <v>0</v>
      </c>
      <c r="O172" s="79">
        <f t="shared" si="24"/>
        <v>0</v>
      </c>
    </row>
    <row r="173" spans="2:15" s="61" customFormat="1" ht="19" customHeight="1" x14ac:dyDescent="0.2">
      <c r="B173" s="24"/>
      <c r="C173" s="24"/>
      <c r="D173" s="36"/>
      <c r="E173" s="24"/>
      <c r="F173" s="77" t="str">
        <f t="shared" si="17"/>
        <v/>
      </c>
      <c r="G173" s="24"/>
      <c r="I173" s="78">
        <f t="shared" si="18"/>
        <v>0</v>
      </c>
      <c r="J173" s="78">
        <f t="shared" si="19"/>
        <v>0</v>
      </c>
      <c r="K173" s="78">
        <f t="shared" si="20"/>
        <v>0</v>
      </c>
      <c r="L173" s="78">
        <f t="shared" si="21"/>
        <v>0</v>
      </c>
      <c r="M173" s="78">
        <f t="shared" si="22"/>
        <v>0</v>
      </c>
      <c r="N173" s="78">
        <f t="shared" si="23"/>
        <v>0</v>
      </c>
      <c r="O173" s="79">
        <f t="shared" si="24"/>
        <v>0</v>
      </c>
    </row>
    <row r="174" spans="2:15" s="61" customFormat="1" ht="19" customHeight="1" x14ac:dyDescent="0.2">
      <c r="B174" s="24"/>
      <c r="C174" s="24"/>
      <c r="D174" s="36"/>
      <c r="E174" s="24"/>
      <c r="F174" s="77" t="str">
        <f t="shared" si="17"/>
        <v/>
      </c>
      <c r="G174" s="24"/>
      <c r="I174" s="78">
        <f t="shared" si="18"/>
        <v>0</v>
      </c>
      <c r="J174" s="78">
        <f t="shared" si="19"/>
        <v>0</v>
      </c>
      <c r="K174" s="78">
        <f t="shared" si="20"/>
        <v>0</v>
      </c>
      <c r="L174" s="78">
        <f t="shared" si="21"/>
        <v>0</v>
      </c>
      <c r="M174" s="78">
        <f t="shared" si="22"/>
        <v>0</v>
      </c>
      <c r="N174" s="78">
        <f t="shared" si="23"/>
        <v>0</v>
      </c>
      <c r="O174" s="79">
        <f t="shared" si="24"/>
        <v>0</v>
      </c>
    </row>
    <row r="175" spans="2:15" s="61" customFormat="1" ht="19" customHeight="1" x14ac:dyDescent="0.2">
      <c r="B175" s="24"/>
      <c r="C175" s="24"/>
      <c r="D175" s="36"/>
      <c r="E175" s="24"/>
      <c r="F175" s="77" t="str">
        <f t="shared" si="17"/>
        <v/>
      </c>
      <c r="G175" s="24"/>
      <c r="I175" s="78">
        <f t="shared" si="18"/>
        <v>0</v>
      </c>
      <c r="J175" s="78">
        <f t="shared" si="19"/>
        <v>0</v>
      </c>
      <c r="K175" s="78">
        <f t="shared" si="20"/>
        <v>0</v>
      </c>
      <c r="L175" s="78">
        <f t="shared" si="21"/>
        <v>0</v>
      </c>
      <c r="M175" s="78">
        <f t="shared" si="22"/>
        <v>0</v>
      </c>
      <c r="N175" s="78">
        <f t="shared" si="23"/>
        <v>0</v>
      </c>
      <c r="O175" s="79">
        <f t="shared" si="24"/>
        <v>0</v>
      </c>
    </row>
    <row r="176" spans="2:15" s="61" customFormat="1" ht="19" customHeight="1" x14ac:dyDescent="0.2">
      <c r="B176" s="24"/>
      <c r="C176" s="24"/>
      <c r="D176" s="36"/>
      <c r="E176" s="24"/>
      <c r="F176" s="77" t="str">
        <f t="shared" si="17"/>
        <v/>
      </c>
      <c r="G176" s="24"/>
      <c r="I176" s="78">
        <f t="shared" si="18"/>
        <v>0</v>
      </c>
      <c r="J176" s="78">
        <f t="shared" si="19"/>
        <v>0</v>
      </c>
      <c r="K176" s="78">
        <f t="shared" si="20"/>
        <v>0</v>
      </c>
      <c r="L176" s="78">
        <f t="shared" si="21"/>
        <v>0</v>
      </c>
      <c r="M176" s="78">
        <f t="shared" si="22"/>
        <v>0</v>
      </c>
      <c r="N176" s="78">
        <f t="shared" si="23"/>
        <v>0</v>
      </c>
      <c r="O176" s="79">
        <f t="shared" si="24"/>
        <v>0</v>
      </c>
    </row>
    <row r="177" spans="2:15" s="61" customFormat="1" ht="19" customHeight="1" x14ac:dyDescent="0.2">
      <c r="B177" s="24"/>
      <c r="C177" s="24"/>
      <c r="D177" s="36"/>
      <c r="E177" s="24"/>
      <c r="F177" s="77" t="str">
        <f t="shared" si="17"/>
        <v/>
      </c>
      <c r="G177" s="24"/>
      <c r="I177" s="78">
        <f t="shared" si="18"/>
        <v>0</v>
      </c>
      <c r="J177" s="78">
        <f t="shared" si="19"/>
        <v>0</v>
      </c>
      <c r="K177" s="78">
        <f t="shared" si="20"/>
        <v>0</v>
      </c>
      <c r="L177" s="78">
        <f t="shared" si="21"/>
        <v>0</v>
      </c>
      <c r="M177" s="78">
        <f t="shared" si="22"/>
        <v>0</v>
      </c>
      <c r="N177" s="78">
        <f t="shared" si="23"/>
        <v>0</v>
      </c>
      <c r="O177" s="79">
        <f t="shared" si="24"/>
        <v>0</v>
      </c>
    </row>
    <row r="178" spans="2:15" s="61" customFormat="1" ht="19" customHeight="1" x14ac:dyDescent="0.2">
      <c r="B178" s="24"/>
      <c r="C178" s="24"/>
      <c r="D178" s="36"/>
      <c r="E178" s="24"/>
      <c r="F178" s="77" t="str">
        <f t="shared" si="17"/>
        <v/>
      </c>
      <c r="G178" s="24"/>
      <c r="I178" s="78">
        <f t="shared" si="18"/>
        <v>0</v>
      </c>
      <c r="J178" s="78">
        <f t="shared" si="19"/>
        <v>0</v>
      </c>
      <c r="K178" s="78">
        <f t="shared" si="20"/>
        <v>0</v>
      </c>
      <c r="L178" s="78">
        <f t="shared" si="21"/>
        <v>0</v>
      </c>
      <c r="M178" s="78">
        <f t="shared" si="22"/>
        <v>0</v>
      </c>
      <c r="N178" s="78">
        <f t="shared" si="23"/>
        <v>0</v>
      </c>
      <c r="O178" s="79">
        <f t="shared" si="24"/>
        <v>0</v>
      </c>
    </row>
    <row r="179" spans="2:15" s="61" customFormat="1" ht="19" customHeight="1" x14ac:dyDescent="0.2">
      <c r="B179" s="24"/>
      <c r="C179" s="24"/>
      <c r="D179" s="36"/>
      <c r="E179" s="24"/>
      <c r="F179" s="77" t="str">
        <f t="shared" si="17"/>
        <v/>
      </c>
      <c r="G179" s="24"/>
      <c r="I179" s="78">
        <f t="shared" si="18"/>
        <v>0</v>
      </c>
      <c r="J179" s="78">
        <f t="shared" si="19"/>
        <v>0</v>
      </c>
      <c r="K179" s="78">
        <f t="shared" si="20"/>
        <v>0</v>
      </c>
      <c r="L179" s="78">
        <f t="shared" si="21"/>
        <v>0</v>
      </c>
      <c r="M179" s="78">
        <f t="shared" si="22"/>
        <v>0</v>
      </c>
      <c r="N179" s="78">
        <f t="shared" si="23"/>
        <v>0</v>
      </c>
      <c r="O179" s="79">
        <f t="shared" si="24"/>
        <v>0</v>
      </c>
    </row>
    <row r="180" spans="2:15" s="61" customFormat="1" ht="19" customHeight="1" x14ac:dyDescent="0.2">
      <c r="B180" s="24"/>
      <c r="C180" s="24"/>
      <c r="D180" s="36"/>
      <c r="E180" s="24"/>
      <c r="F180" s="77" t="str">
        <f t="shared" si="17"/>
        <v/>
      </c>
      <c r="G180" s="24"/>
      <c r="I180" s="78">
        <f t="shared" si="18"/>
        <v>0</v>
      </c>
      <c r="J180" s="78">
        <f t="shared" si="19"/>
        <v>0</v>
      </c>
      <c r="K180" s="78">
        <f t="shared" si="20"/>
        <v>0</v>
      </c>
      <c r="L180" s="78">
        <f t="shared" si="21"/>
        <v>0</v>
      </c>
      <c r="M180" s="78">
        <f t="shared" si="22"/>
        <v>0</v>
      </c>
      <c r="N180" s="78">
        <f t="shared" si="23"/>
        <v>0</v>
      </c>
      <c r="O180" s="79">
        <f t="shared" si="24"/>
        <v>0</v>
      </c>
    </row>
    <row r="181" spans="2:15" s="61" customFormat="1" ht="19" customHeight="1" x14ac:dyDescent="0.2">
      <c r="B181" s="24"/>
      <c r="C181" s="24"/>
      <c r="D181" s="36"/>
      <c r="E181" s="24"/>
      <c r="F181" s="77" t="str">
        <f t="shared" si="17"/>
        <v/>
      </c>
      <c r="G181" s="24"/>
      <c r="I181" s="78">
        <f t="shared" si="18"/>
        <v>0</v>
      </c>
      <c r="J181" s="78">
        <f t="shared" si="19"/>
        <v>0</v>
      </c>
      <c r="K181" s="78">
        <f t="shared" si="20"/>
        <v>0</v>
      </c>
      <c r="L181" s="78">
        <f t="shared" si="21"/>
        <v>0</v>
      </c>
      <c r="M181" s="78">
        <f t="shared" si="22"/>
        <v>0</v>
      </c>
      <c r="N181" s="78">
        <f t="shared" si="23"/>
        <v>0</v>
      </c>
      <c r="O181" s="79">
        <f t="shared" si="24"/>
        <v>0</v>
      </c>
    </row>
    <row r="182" spans="2:15" s="61" customFormat="1" ht="19" customHeight="1" x14ac:dyDescent="0.2">
      <c r="B182" s="24"/>
      <c r="C182" s="24"/>
      <c r="D182" s="36"/>
      <c r="E182" s="24"/>
      <c r="F182" s="77" t="str">
        <f t="shared" si="17"/>
        <v/>
      </c>
      <c r="G182" s="24"/>
      <c r="I182" s="78">
        <f t="shared" si="18"/>
        <v>0</v>
      </c>
      <c r="J182" s="78">
        <f t="shared" si="19"/>
        <v>0</v>
      </c>
      <c r="K182" s="78">
        <f t="shared" si="20"/>
        <v>0</v>
      </c>
      <c r="L182" s="78">
        <f t="shared" si="21"/>
        <v>0</v>
      </c>
      <c r="M182" s="78">
        <f t="shared" si="22"/>
        <v>0</v>
      </c>
      <c r="N182" s="78">
        <f t="shared" si="23"/>
        <v>0</v>
      </c>
      <c r="O182" s="79">
        <f t="shared" si="24"/>
        <v>0</v>
      </c>
    </row>
    <row r="183" spans="2:15" s="61" customFormat="1" ht="19" customHeight="1" x14ac:dyDescent="0.2">
      <c r="B183" s="24"/>
      <c r="C183" s="24"/>
      <c r="D183" s="36"/>
      <c r="E183" s="24"/>
      <c r="F183" s="77" t="str">
        <f t="shared" si="17"/>
        <v/>
      </c>
      <c r="G183" s="24"/>
      <c r="I183" s="78">
        <f t="shared" si="18"/>
        <v>0</v>
      </c>
      <c r="J183" s="78">
        <f t="shared" si="19"/>
        <v>0</v>
      </c>
      <c r="K183" s="78">
        <f t="shared" si="20"/>
        <v>0</v>
      </c>
      <c r="L183" s="78">
        <f t="shared" si="21"/>
        <v>0</v>
      </c>
      <c r="M183" s="78">
        <f t="shared" si="22"/>
        <v>0</v>
      </c>
      <c r="N183" s="78">
        <f t="shared" si="23"/>
        <v>0</v>
      </c>
      <c r="O183" s="79">
        <f t="shared" si="24"/>
        <v>0</v>
      </c>
    </row>
    <row r="184" spans="2:15" s="61" customFormat="1" ht="19" customHeight="1" x14ac:dyDescent="0.2">
      <c r="B184" s="24"/>
      <c r="C184" s="24"/>
      <c r="D184" s="36"/>
      <c r="E184" s="24"/>
      <c r="F184" s="77" t="str">
        <f t="shared" si="17"/>
        <v/>
      </c>
      <c r="G184" s="24"/>
      <c r="I184" s="78">
        <f t="shared" si="18"/>
        <v>0</v>
      </c>
      <c r="J184" s="78">
        <f t="shared" si="19"/>
        <v>0</v>
      </c>
      <c r="K184" s="78">
        <f t="shared" si="20"/>
        <v>0</v>
      </c>
      <c r="L184" s="78">
        <f t="shared" si="21"/>
        <v>0</v>
      </c>
      <c r="M184" s="78">
        <f t="shared" si="22"/>
        <v>0</v>
      </c>
      <c r="N184" s="78">
        <f t="shared" si="23"/>
        <v>0</v>
      </c>
      <c r="O184" s="79">
        <f t="shared" si="24"/>
        <v>0</v>
      </c>
    </row>
    <row r="185" spans="2:15" s="61" customFormat="1" ht="19" customHeight="1" x14ac:dyDescent="0.2">
      <c r="B185" s="24"/>
      <c r="C185" s="24"/>
      <c r="D185" s="36"/>
      <c r="E185" s="24"/>
      <c r="F185" s="77" t="str">
        <f t="shared" si="17"/>
        <v/>
      </c>
      <c r="G185" s="24"/>
      <c r="I185" s="78">
        <f t="shared" si="18"/>
        <v>0</v>
      </c>
      <c r="J185" s="78">
        <f t="shared" si="19"/>
        <v>0</v>
      </c>
      <c r="K185" s="78">
        <f t="shared" si="20"/>
        <v>0</v>
      </c>
      <c r="L185" s="78">
        <f t="shared" si="21"/>
        <v>0</v>
      </c>
      <c r="M185" s="78">
        <f t="shared" si="22"/>
        <v>0</v>
      </c>
      <c r="N185" s="78">
        <f t="shared" si="23"/>
        <v>0</v>
      </c>
      <c r="O185" s="79">
        <f t="shared" si="24"/>
        <v>0</v>
      </c>
    </row>
    <row r="186" spans="2:15" s="61" customFormat="1" ht="19" customHeight="1" x14ac:dyDescent="0.2">
      <c r="B186" s="24"/>
      <c r="C186" s="24"/>
      <c r="D186" s="36"/>
      <c r="E186" s="24"/>
      <c r="F186" s="77" t="str">
        <f t="shared" si="17"/>
        <v/>
      </c>
      <c r="G186" s="24"/>
      <c r="I186" s="78">
        <f t="shared" si="18"/>
        <v>0</v>
      </c>
      <c r="J186" s="78">
        <f t="shared" si="19"/>
        <v>0</v>
      </c>
      <c r="K186" s="78">
        <f t="shared" si="20"/>
        <v>0</v>
      </c>
      <c r="L186" s="78">
        <f t="shared" si="21"/>
        <v>0</v>
      </c>
      <c r="M186" s="78">
        <f t="shared" si="22"/>
        <v>0</v>
      </c>
      <c r="N186" s="78">
        <f t="shared" si="23"/>
        <v>0</v>
      </c>
      <c r="O186" s="79">
        <f t="shared" si="24"/>
        <v>0</v>
      </c>
    </row>
    <row r="187" spans="2:15" s="61" customFormat="1" ht="19" customHeight="1" x14ac:dyDescent="0.2">
      <c r="B187" s="24"/>
      <c r="C187" s="24"/>
      <c r="D187" s="36"/>
      <c r="E187" s="24"/>
      <c r="F187" s="77" t="str">
        <f t="shared" si="17"/>
        <v/>
      </c>
      <c r="G187" s="24"/>
      <c r="I187" s="78">
        <f t="shared" si="18"/>
        <v>0</v>
      </c>
      <c r="J187" s="78">
        <f t="shared" si="19"/>
        <v>0</v>
      </c>
      <c r="K187" s="78">
        <f t="shared" si="20"/>
        <v>0</v>
      </c>
      <c r="L187" s="78">
        <f t="shared" si="21"/>
        <v>0</v>
      </c>
      <c r="M187" s="78">
        <f t="shared" si="22"/>
        <v>0</v>
      </c>
      <c r="N187" s="78">
        <f t="shared" si="23"/>
        <v>0</v>
      </c>
      <c r="O187" s="79">
        <f t="shared" si="24"/>
        <v>0</v>
      </c>
    </row>
    <row r="188" spans="2:15" s="61" customFormat="1" ht="19" customHeight="1" x14ac:dyDescent="0.2">
      <c r="B188" s="24"/>
      <c r="C188" s="24"/>
      <c r="D188" s="36"/>
      <c r="E188" s="24"/>
      <c r="F188" s="77" t="str">
        <f t="shared" si="17"/>
        <v/>
      </c>
      <c r="G188" s="24"/>
      <c r="I188" s="78">
        <f t="shared" si="18"/>
        <v>0</v>
      </c>
      <c r="J188" s="78">
        <f t="shared" si="19"/>
        <v>0</v>
      </c>
      <c r="K188" s="78">
        <f t="shared" si="20"/>
        <v>0</v>
      </c>
      <c r="L188" s="78">
        <f t="shared" si="21"/>
        <v>0</v>
      </c>
      <c r="M188" s="78">
        <f t="shared" si="22"/>
        <v>0</v>
      </c>
      <c r="N188" s="78">
        <f t="shared" si="23"/>
        <v>0</v>
      </c>
      <c r="O188" s="79">
        <f t="shared" si="24"/>
        <v>0</v>
      </c>
    </row>
    <row r="189" spans="2:15" s="61" customFormat="1" ht="19" customHeight="1" x14ac:dyDescent="0.2">
      <c r="B189" s="24"/>
      <c r="C189" s="24"/>
      <c r="D189" s="36"/>
      <c r="E189" s="24"/>
      <c r="F189" s="77" t="str">
        <f t="shared" si="17"/>
        <v/>
      </c>
      <c r="G189" s="24"/>
      <c r="I189" s="78">
        <f t="shared" si="18"/>
        <v>0</v>
      </c>
      <c r="J189" s="78">
        <f t="shared" si="19"/>
        <v>0</v>
      </c>
      <c r="K189" s="78">
        <f t="shared" si="20"/>
        <v>0</v>
      </c>
      <c r="L189" s="78">
        <f t="shared" si="21"/>
        <v>0</v>
      </c>
      <c r="M189" s="78">
        <f t="shared" si="22"/>
        <v>0</v>
      </c>
      <c r="N189" s="78">
        <f t="shared" si="23"/>
        <v>0</v>
      </c>
      <c r="O189" s="79">
        <f t="shared" si="24"/>
        <v>0</v>
      </c>
    </row>
    <row r="190" spans="2:15" s="61" customFormat="1" ht="19" customHeight="1" x14ac:dyDescent="0.2">
      <c r="B190" s="24"/>
      <c r="C190" s="24"/>
      <c r="D190" s="36"/>
      <c r="E190" s="24"/>
      <c r="F190" s="77" t="str">
        <f t="shared" si="17"/>
        <v/>
      </c>
      <c r="G190" s="24"/>
      <c r="I190" s="78">
        <f t="shared" si="18"/>
        <v>0</v>
      </c>
      <c r="J190" s="78">
        <f t="shared" si="19"/>
        <v>0</v>
      </c>
      <c r="K190" s="78">
        <f t="shared" si="20"/>
        <v>0</v>
      </c>
      <c r="L190" s="78">
        <f t="shared" si="21"/>
        <v>0</v>
      </c>
      <c r="M190" s="78">
        <f t="shared" si="22"/>
        <v>0</v>
      </c>
      <c r="N190" s="78">
        <f t="shared" si="23"/>
        <v>0</v>
      </c>
      <c r="O190" s="79">
        <f t="shared" si="24"/>
        <v>0</v>
      </c>
    </row>
    <row r="191" spans="2:15" s="61" customFormat="1" ht="19" customHeight="1" x14ac:dyDescent="0.2">
      <c r="B191" s="24"/>
      <c r="C191" s="24"/>
      <c r="D191" s="36"/>
      <c r="E191" s="24"/>
      <c r="F191" s="77" t="str">
        <f t="shared" si="17"/>
        <v/>
      </c>
      <c r="G191" s="24"/>
      <c r="I191" s="78">
        <f t="shared" si="18"/>
        <v>0</v>
      </c>
      <c r="J191" s="78">
        <f t="shared" si="19"/>
        <v>0</v>
      </c>
      <c r="K191" s="78">
        <f t="shared" si="20"/>
        <v>0</v>
      </c>
      <c r="L191" s="78">
        <f t="shared" si="21"/>
        <v>0</v>
      </c>
      <c r="M191" s="78">
        <f t="shared" si="22"/>
        <v>0</v>
      </c>
      <c r="N191" s="78">
        <f t="shared" si="23"/>
        <v>0</v>
      </c>
      <c r="O191" s="79">
        <f t="shared" si="24"/>
        <v>0</v>
      </c>
    </row>
    <row r="192" spans="2:15" s="61" customFormat="1" ht="19" customHeight="1" x14ac:dyDescent="0.2">
      <c r="B192" s="24"/>
      <c r="C192" s="24"/>
      <c r="D192" s="36"/>
      <c r="E192" s="24"/>
      <c r="F192" s="77" t="str">
        <f t="shared" si="17"/>
        <v/>
      </c>
      <c r="G192" s="24"/>
      <c r="I192" s="78">
        <f t="shared" si="18"/>
        <v>0</v>
      </c>
      <c r="J192" s="78">
        <f t="shared" si="19"/>
        <v>0</v>
      </c>
      <c r="K192" s="78">
        <f t="shared" si="20"/>
        <v>0</v>
      </c>
      <c r="L192" s="78">
        <f t="shared" si="21"/>
        <v>0</v>
      </c>
      <c r="M192" s="78">
        <f t="shared" si="22"/>
        <v>0</v>
      </c>
      <c r="N192" s="78">
        <f t="shared" si="23"/>
        <v>0</v>
      </c>
      <c r="O192" s="79">
        <f t="shared" si="24"/>
        <v>0</v>
      </c>
    </row>
    <row r="193" spans="2:15" s="61" customFormat="1" ht="19" customHeight="1" x14ac:dyDescent="0.2">
      <c r="B193" s="24"/>
      <c r="C193" s="24"/>
      <c r="D193" s="36"/>
      <c r="E193" s="24"/>
      <c r="F193" s="77" t="str">
        <f t="shared" si="17"/>
        <v/>
      </c>
      <c r="G193" s="24"/>
      <c r="I193" s="78">
        <f t="shared" si="18"/>
        <v>0</v>
      </c>
      <c r="J193" s="78">
        <f t="shared" si="19"/>
        <v>0</v>
      </c>
      <c r="K193" s="78">
        <f t="shared" si="20"/>
        <v>0</v>
      </c>
      <c r="L193" s="78">
        <f t="shared" si="21"/>
        <v>0</v>
      </c>
      <c r="M193" s="78">
        <f t="shared" si="22"/>
        <v>0</v>
      </c>
      <c r="N193" s="78">
        <f t="shared" si="23"/>
        <v>0</v>
      </c>
      <c r="O193" s="79">
        <f t="shared" si="24"/>
        <v>0</v>
      </c>
    </row>
    <row r="194" spans="2:15" s="61" customFormat="1" ht="19" customHeight="1" x14ac:dyDescent="0.2">
      <c r="B194" s="24"/>
      <c r="C194" s="24"/>
      <c r="D194" s="36"/>
      <c r="E194" s="24"/>
      <c r="F194" s="77" t="str">
        <f t="shared" si="17"/>
        <v/>
      </c>
      <c r="G194" s="24"/>
      <c r="I194" s="78">
        <f t="shared" si="18"/>
        <v>0</v>
      </c>
      <c r="J194" s="78">
        <f t="shared" si="19"/>
        <v>0</v>
      </c>
      <c r="K194" s="78">
        <f t="shared" si="20"/>
        <v>0</v>
      </c>
      <c r="L194" s="78">
        <f t="shared" si="21"/>
        <v>0</v>
      </c>
      <c r="M194" s="78">
        <f t="shared" si="22"/>
        <v>0</v>
      </c>
      <c r="N194" s="78">
        <f t="shared" si="23"/>
        <v>0</v>
      </c>
      <c r="O194" s="79">
        <f t="shared" si="24"/>
        <v>0</v>
      </c>
    </row>
    <row r="195" spans="2:15" s="61" customFormat="1" ht="19" customHeight="1" x14ac:dyDescent="0.2">
      <c r="B195" s="24"/>
      <c r="C195" s="24"/>
      <c r="D195" s="36"/>
      <c r="E195" s="24"/>
      <c r="F195" s="77" t="str">
        <f t="shared" si="17"/>
        <v/>
      </c>
      <c r="G195" s="24"/>
      <c r="I195" s="78">
        <f t="shared" si="18"/>
        <v>0</v>
      </c>
      <c r="J195" s="78">
        <f t="shared" si="19"/>
        <v>0</v>
      </c>
      <c r="K195" s="78">
        <f t="shared" si="20"/>
        <v>0</v>
      </c>
      <c r="L195" s="78">
        <f t="shared" si="21"/>
        <v>0</v>
      </c>
      <c r="M195" s="78">
        <f t="shared" si="22"/>
        <v>0</v>
      </c>
      <c r="N195" s="78">
        <f t="shared" si="23"/>
        <v>0</v>
      </c>
      <c r="O195" s="79">
        <f t="shared" si="24"/>
        <v>0</v>
      </c>
    </row>
    <row r="196" spans="2:15" s="61" customFormat="1" ht="19" customHeight="1" x14ac:dyDescent="0.2">
      <c r="B196" s="24"/>
      <c r="C196" s="24"/>
      <c r="D196" s="36"/>
      <c r="E196" s="24"/>
      <c r="F196" s="77" t="str">
        <f t="shared" si="17"/>
        <v/>
      </c>
      <c r="G196" s="24"/>
      <c r="I196" s="78">
        <f t="shared" si="18"/>
        <v>0</v>
      </c>
      <c r="J196" s="78">
        <f t="shared" si="19"/>
        <v>0</v>
      </c>
      <c r="K196" s="78">
        <f t="shared" si="20"/>
        <v>0</v>
      </c>
      <c r="L196" s="78">
        <f t="shared" si="21"/>
        <v>0</v>
      </c>
      <c r="M196" s="78">
        <f t="shared" si="22"/>
        <v>0</v>
      </c>
      <c r="N196" s="78">
        <f t="shared" si="23"/>
        <v>0</v>
      </c>
      <c r="O196" s="79">
        <f t="shared" si="24"/>
        <v>0</v>
      </c>
    </row>
    <row r="197" spans="2:15" s="61" customFormat="1" ht="19" customHeight="1" x14ac:dyDescent="0.2">
      <c r="B197" s="24"/>
      <c r="C197" s="24"/>
      <c r="D197" s="36"/>
      <c r="E197" s="24"/>
      <c r="F197" s="77" t="str">
        <f t="shared" si="17"/>
        <v/>
      </c>
      <c r="G197" s="24"/>
      <c r="I197" s="78">
        <f t="shared" si="18"/>
        <v>0</v>
      </c>
      <c r="J197" s="78">
        <f t="shared" si="19"/>
        <v>0</v>
      </c>
      <c r="K197" s="78">
        <f t="shared" si="20"/>
        <v>0</v>
      </c>
      <c r="L197" s="78">
        <f t="shared" si="21"/>
        <v>0</v>
      </c>
      <c r="M197" s="78">
        <f t="shared" si="22"/>
        <v>0</v>
      </c>
      <c r="N197" s="78">
        <f t="shared" si="23"/>
        <v>0</v>
      </c>
      <c r="O197" s="79">
        <f t="shared" si="24"/>
        <v>0</v>
      </c>
    </row>
    <row r="198" spans="2:15" s="61" customFormat="1" ht="19" customHeight="1" x14ac:dyDescent="0.2">
      <c r="B198" s="24"/>
      <c r="C198" s="24"/>
      <c r="D198" s="36"/>
      <c r="E198" s="24"/>
      <c r="F198" s="77" t="str">
        <f t="shared" si="17"/>
        <v/>
      </c>
      <c r="G198" s="24"/>
      <c r="I198" s="78">
        <f t="shared" si="18"/>
        <v>0</v>
      </c>
      <c r="J198" s="78">
        <f t="shared" si="19"/>
        <v>0</v>
      </c>
      <c r="K198" s="78">
        <f t="shared" si="20"/>
        <v>0</v>
      </c>
      <c r="L198" s="78">
        <f t="shared" si="21"/>
        <v>0</v>
      </c>
      <c r="M198" s="78">
        <f t="shared" si="22"/>
        <v>0</v>
      </c>
      <c r="N198" s="78">
        <f t="shared" si="23"/>
        <v>0</v>
      </c>
      <c r="O198" s="79">
        <f t="shared" si="24"/>
        <v>0</v>
      </c>
    </row>
    <row r="199" spans="2:15" s="61" customFormat="1" ht="19" customHeight="1" x14ac:dyDescent="0.2">
      <c r="B199" s="24"/>
      <c r="C199" s="24"/>
      <c r="D199" s="36"/>
      <c r="E199" s="24"/>
      <c r="F199" s="77" t="str">
        <f t="shared" si="17"/>
        <v/>
      </c>
      <c r="G199" s="24"/>
      <c r="I199" s="78">
        <f t="shared" si="18"/>
        <v>0</v>
      </c>
      <c r="J199" s="78">
        <f t="shared" si="19"/>
        <v>0</v>
      </c>
      <c r="K199" s="78">
        <f t="shared" si="20"/>
        <v>0</v>
      </c>
      <c r="L199" s="78">
        <f t="shared" si="21"/>
        <v>0</v>
      </c>
      <c r="M199" s="78">
        <f t="shared" si="22"/>
        <v>0</v>
      </c>
      <c r="N199" s="78">
        <f t="shared" si="23"/>
        <v>0</v>
      </c>
      <c r="O199" s="79">
        <f t="shared" si="24"/>
        <v>0</v>
      </c>
    </row>
    <row r="200" spans="2:15" s="61" customFormat="1" ht="19" customHeight="1" x14ac:dyDescent="0.2">
      <c r="B200" s="24"/>
      <c r="C200" s="24"/>
      <c r="D200" s="36"/>
      <c r="E200" s="24"/>
      <c r="F200" s="77" t="str">
        <f t="shared" si="17"/>
        <v/>
      </c>
      <c r="G200" s="24"/>
      <c r="I200" s="78">
        <f t="shared" si="18"/>
        <v>0</v>
      </c>
      <c r="J200" s="78">
        <f t="shared" si="19"/>
        <v>0</v>
      </c>
      <c r="K200" s="78">
        <f t="shared" si="20"/>
        <v>0</v>
      </c>
      <c r="L200" s="78">
        <f t="shared" si="21"/>
        <v>0</v>
      </c>
      <c r="M200" s="78">
        <f t="shared" si="22"/>
        <v>0</v>
      </c>
      <c r="N200" s="78">
        <f t="shared" si="23"/>
        <v>0</v>
      </c>
      <c r="O200" s="79">
        <f t="shared" si="24"/>
        <v>0</v>
      </c>
    </row>
    <row r="201" spans="2:15" s="61" customFormat="1" ht="19" customHeight="1" x14ac:dyDescent="0.2">
      <c r="B201" s="24"/>
      <c r="C201" s="24"/>
      <c r="D201" s="36"/>
      <c r="E201" s="24"/>
      <c r="F201" s="77" t="str">
        <f t="shared" si="17"/>
        <v/>
      </c>
      <c r="G201" s="24"/>
      <c r="I201" s="78">
        <f t="shared" si="18"/>
        <v>0</v>
      </c>
      <c r="J201" s="78">
        <f t="shared" si="19"/>
        <v>0</v>
      </c>
      <c r="K201" s="78">
        <f t="shared" si="20"/>
        <v>0</v>
      </c>
      <c r="L201" s="78">
        <f t="shared" si="21"/>
        <v>0</v>
      </c>
      <c r="M201" s="78">
        <f t="shared" si="22"/>
        <v>0</v>
      </c>
      <c r="N201" s="78">
        <f t="shared" si="23"/>
        <v>0</v>
      </c>
      <c r="O201" s="79">
        <f t="shared" si="24"/>
        <v>0</v>
      </c>
    </row>
    <row r="202" spans="2:15" s="61" customFormat="1" ht="19" customHeight="1" x14ac:dyDescent="0.2">
      <c r="B202" s="24"/>
      <c r="C202" s="24"/>
      <c r="D202" s="36"/>
      <c r="E202" s="24"/>
      <c r="F202" s="77" t="str">
        <f t="shared" si="17"/>
        <v/>
      </c>
      <c r="G202" s="24"/>
      <c r="I202" s="78">
        <f t="shared" si="18"/>
        <v>0</v>
      </c>
      <c r="J202" s="78">
        <f t="shared" si="19"/>
        <v>0</v>
      </c>
      <c r="K202" s="78">
        <f t="shared" si="20"/>
        <v>0</v>
      </c>
      <c r="L202" s="78">
        <f t="shared" si="21"/>
        <v>0</v>
      </c>
      <c r="M202" s="78">
        <f t="shared" si="22"/>
        <v>0</v>
      </c>
      <c r="N202" s="78">
        <f t="shared" si="23"/>
        <v>0</v>
      </c>
      <c r="O202" s="79">
        <f t="shared" si="24"/>
        <v>0</v>
      </c>
    </row>
    <row r="203" spans="2:15" s="61" customFormat="1" ht="19" customHeight="1" x14ac:dyDescent="0.2">
      <c r="B203" s="24"/>
      <c r="C203" s="24"/>
      <c r="D203" s="36"/>
      <c r="E203" s="24"/>
      <c r="F203" s="77" t="str">
        <f t="shared" ref="F203:F266" si="25">IF(E203="","",IFERROR(VLOOKUP(E203,zone,2,0),""))</f>
        <v/>
      </c>
      <c r="G203" s="24"/>
      <c r="I203" s="78">
        <f t="shared" si="18"/>
        <v>0</v>
      </c>
      <c r="J203" s="78">
        <f t="shared" si="19"/>
        <v>0</v>
      </c>
      <c r="K203" s="78">
        <f t="shared" si="20"/>
        <v>0</v>
      </c>
      <c r="L203" s="78">
        <f t="shared" si="21"/>
        <v>0</v>
      </c>
      <c r="M203" s="78">
        <f t="shared" si="22"/>
        <v>0</v>
      </c>
      <c r="N203" s="78">
        <f t="shared" si="23"/>
        <v>0</v>
      </c>
      <c r="O203" s="79">
        <f t="shared" si="24"/>
        <v>0</v>
      </c>
    </row>
    <row r="204" spans="2:15" s="61" customFormat="1" ht="19" customHeight="1" x14ac:dyDescent="0.2">
      <c r="B204" s="24"/>
      <c r="C204" s="24"/>
      <c r="D204" s="36"/>
      <c r="E204" s="24"/>
      <c r="F204" s="77" t="str">
        <f t="shared" si="25"/>
        <v/>
      </c>
      <c r="G204" s="24"/>
      <c r="I204" s="78">
        <f t="shared" ref="I204:I267" si="26">IF(B204="",0,1)</f>
        <v>0</v>
      </c>
      <c r="J204" s="78">
        <f t="shared" ref="J204:J267" si="27">IF(C204="",0,1)</f>
        <v>0</v>
      </c>
      <c r="K204" s="78">
        <f t="shared" ref="K204:K267" si="28">IF(D204="",0,1)</f>
        <v>0</v>
      </c>
      <c r="L204" s="78">
        <f t="shared" ref="L204:L267" si="29">IF(E204="",0,1)</f>
        <v>0</v>
      </c>
      <c r="M204" s="78">
        <f t="shared" ref="M204:M267" si="30">IF(F204="",0,1)</f>
        <v>0</v>
      </c>
      <c r="N204" s="78">
        <f t="shared" ref="N204:N267" si="31">IF(G204="",0,1)</f>
        <v>0</v>
      </c>
      <c r="O204" s="79">
        <f t="shared" ref="O204:O267" si="32">SUM(I204:N204)</f>
        <v>0</v>
      </c>
    </row>
    <row r="205" spans="2:15" s="61" customFormat="1" ht="19" customHeight="1" x14ac:dyDescent="0.2">
      <c r="B205" s="24"/>
      <c r="C205" s="24"/>
      <c r="D205" s="36"/>
      <c r="E205" s="24"/>
      <c r="F205" s="77" t="str">
        <f t="shared" si="25"/>
        <v/>
      </c>
      <c r="G205" s="24"/>
      <c r="I205" s="78">
        <f t="shared" si="26"/>
        <v>0</v>
      </c>
      <c r="J205" s="78">
        <f t="shared" si="27"/>
        <v>0</v>
      </c>
      <c r="K205" s="78">
        <f t="shared" si="28"/>
        <v>0</v>
      </c>
      <c r="L205" s="78">
        <f t="shared" si="29"/>
        <v>0</v>
      </c>
      <c r="M205" s="78">
        <f t="shared" si="30"/>
        <v>0</v>
      </c>
      <c r="N205" s="78">
        <f t="shared" si="31"/>
        <v>0</v>
      </c>
      <c r="O205" s="79">
        <f t="shared" si="32"/>
        <v>0</v>
      </c>
    </row>
    <row r="206" spans="2:15" s="61" customFormat="1" ht="19" customHeight="1" x14ac:dyDescent="0.2">
      <c r="B206" s="24"/>
      <c r="C206" s="24"/>
      <c r="D206" s="36"/>
      <c r="E206" s="24"/>
      <c r="F206" s="77" t="str">
        <f t="shared" si="25"/>
        <v/>
      </c>
      <c r="G206" s="24"/>
      <c r="I206" s="78">
        <f t="shared" si="26"/>
        <v>0</v>
      </c>
      <c r="J206" s="78">
        <f t="shared" si="27"/>
        <v>0</v>
      </c>
      <c r="K206" s="78">
        <f t="shared" si="28"/>
        <v>0</v>
      </c>
      <c r="L206" s="78">
        <f t="shared" si="29"/>
        <v>0</v>
      </c>
      <c r="M206" s="78">
        <f t="shared" si="30"/>
        <v>0</v>
      </c>
      <c r="N206" s="78">
        <f t="shared" si="31"/>
        <v>0</v>
      </c>
      <c r="O206" s="79">
        <f t="shared" si="32"/>
        <v>0</v>
      </c>
    </row>
    <row r="207" spans="2:15" s="61" customFormat="1" ht="19" customHeight="1" x14ac:dyDescent="0.2">
      <c r="B207" s="24"/>
      <c r="C207" s="24"/>
      <c r="D207" s="36"/>
      <c r="E207" s="24"/>
      <c r="F207" s="77" t="str">
        <f t="shared" si="25"/>
        <v/>
      </c>
      <c r="G207" s="24"/>
      <c r="I207" s="78">
        <f t="shared" si="26"/>
        <v>0</v>
      </c>
      <c r="J207" s="78">
        <f t="shared" si="27"/>
        <v>0</v>
      </c>
      <c r="K207" s="78">
        <f t="shared" si="28"/>
        <v>0</v>
      </c>
      <c r="L207" s="78">
        <f t="shared" si="29"/>
        <v>0</v>
      </c>
      <c r="M207" s="78">
        <f t="shared" si="30"/>
        <v>0</v>
      </c>
      <c r="N207" s="78">
        <f t="shared" si="31"/>
        <v>0</v>
      </c>
      <c r="O207" s="79">
        <f t="shared" si="32"/>
        <v>0</v>
      </c>
    </row>
    <row r="208" spans="2:15" s="61" customFormat="1" ht="19" customHeight="1" x14ac:dyDescent="0.2">
      <c r="B208" s="24"/>
      <c r="C208" s="24"/>
      <c r="D208" s="36"/>
      <c r="E208" s="24"/>
      <c r="F208" s="77" t="str">
        <f t="shared" si="25"/>
        <v/>
      </c>
      <c r="G208" s="24"/>
      <c r="I208" s="78">
        <f t="shared" si="26"/>
        <v>0</v>
      </c>
      <c r="J208" s="78">
        <f t="shared" si="27"/>
        <v>0</v>
      </c>
      <c r="K208" s="78">
        <f t="shared" si="28"/>
        <v>0</v>
      </c>
      <c r="L208" s="78">
        <f t="shared" si="29"/>
        <v>0</v>
      </c>
      <c r="M208" s="78">
        <f t="shared" si="30"/>
        <v>0</v>
      </c>
      <c r="N208" s="78">
        <f t="shared" si="31"/>
        <v>0</v>
      </c>
      <c r="O208" s="79">
        <f t="shared" si="32"/>
        <v>0</v>
      </c>
    </row>
    <row r="209" spans="2:15" s="61" customFormat="1" ht="19" customHeight="1" x14ac:dyDescent="0.2">
      <c r="B209" s="24"/>
      <c r="C209" s="24"/>
      <c r="D209" s="36"/>
      <c r="E209" s="24"/>
      <c r="F209" s="77" t="str">
        <f t="shared" si="25"/>
        <v/>
      </c>
      <c r="G209" s="24"/>
      <c r="I209" s="78">
        <f t="shared" si="26"/>
        <v>0</v>
      </c>
      <c r="J209" s="78">
        <f t="shared" si="27"/>
        <v>0</v>
      </c>
      <c r="K209" s="78">
        <f t="shared" si="28"/>
        <v>0</v>
      </c>
      <c r="L209" s="78">
        <f t="shared" si="29"/>
        <v>0</v>
      </c>
      <c r="M209" s="78">
        <f t="shared" si="30"/>
        <v>0</v>
      </c>
      <c r="N209" s="78">
        <f t="shared" si="31"/>
        <v>0</v>
      </c>
      <c r="O209" s="79">
        <f t="shared" si="32"/>
        <v>0</v>
      </c>
    </row>
    <row r="210" spans="2:15" s="61" customFormat="1" ht="19" customHeight="1" x14ac:dyDescent="0.2">
      <c r="B210" s="24"/>
      <c r="C210" s="24"/>
      <c r="D210" s="36"/>
      <c r="E210" s="24"/>
      <c r="F210" s="77" t="str">
        <f t="shared" si="25"/>
        <v/>
      </c>
      <c r="G210" s="24"/>
      <c r="I210" s="78">
        <f t="shared" si="26"/>
        <v>0</v>
      </c>
      <c r="J210" s="78">
        <f t="shared" si="27"/>
        <v>0</v>
      </c>
      <c r="K210" s="78">
        <f t="shared" si="28"/>
        <v>0</v>
      </c>
      <c r="L210" s="78">
        <f t="shared" si="29"/>
        <v>0</v>
      </c>
      <c r="M210" s="78">
        <f t="shared" si="30"/>
        <v>0</v>
      </c>
      <c r="N210" s="78">
        <f t="shared" si="31"/>
        <v>0</v>
      </c>
      <c r="O210" s="79">
        <f t="shared" si="32"/>
        <v>0</v>
      </c>
    </row>
    <row r="211" spans="2:15" s="61" customFormat="1" ht="19" customHeight="1" x14ac:dyDescent="0.2">
      <c r="B211" s="24"/>
      <c r="C211" s="24"/>
      <c r="D211" s="36"/>
      <c r="E211" s="24"/>
      <c r="F211" s="77" t="str">
        <f t="shared" si="25"/>
        <v/>
      </c>
      <c r="G211" s="24"/>
      <c r="I211" s="78">
        <f t="shared" si="26"/>
        <v>0</v>
      </c>
      <c r="J211" s="78">
        <f t="shared" si="27"/>
        <v>0</v>
      </c>
      <c r="K211" s="78">
        <f t="shared" si="28"/>
        <v>0</v>
      </c>
      <c r="L211" s="78">
        <f t="shared" si="29"/>
        <v>0</v>
      </c>
      <c r="M211" s="78">
        <f t="shared" si="30"/>
        <v>0</v>
      </c>
      <c r="N211" s="78">
        <f t="shared" si="31"/>
        <v>0</v>
      </c>
      <c r="O211" s="79">
        <f t="shared" si="32"/>
        <v>0</v>
      </c>
    </row>
    <row r="212" spans="2:15" s="61" customFormat="1" ht="19" customHeight="1" x14ac:dyDescent="0.2">
      <c r="B212" s="24"/>
      <c r="C212" s="24"/>
      <c r="D212" s="36"/>
      <c r="E212" s="24"/>
      <c r="F212" s="77" t="str">
        <f t="shared" si="25"/>
        <v/>
      </c>
      <c r="G212" s="24"/>
      <c r="I212" s="78">
        <f t="shared" si="26"/>
        <v>0</v>
      </c>
      <c r="J212" s="78">
        <f t="shared" si="27"/>
        <v>0</v>
      </c>
      <c r="K212" s="78">
        <f t="shared" si="28"/>
        <v>0</v>
      </c>
      <c r="L212" s="78">
        <f t="shared" si="29"/>
        <v>0</v>
      </c>
      <c r="M212" s="78">
        <f t="shared" si="30"/>
        <v>0</v>
      </c>
      <c r="N212" s="78">
        <f t="shared" si="31"/>
        <v>0</v>
      </c>
      <c r="O212" s="79">
        <f t="shared" si="32"/>
        <v>0</v>
      </c>
    </row>
    <row r="213" spans="2:15" s="61" customFormat="1" ht="19" customHeight="1" x14ac:dyDescent="0.2">
      <c r="B213" s="24"/>
      <c r="C213" s="24"/>
      <c r="D213" s="36"/>
      <c r="E213" s="24"/>
      <c r="F213" s="77" t="str">
        <f t="shared" si="25"/>
        <v/>
      </c>
      <c r="G213" s="24"/>
      <c r="I213" s="78">
        <f t="shared" si="26"/>
        <v>0</v>
      </c>
      <c r="J213" s="78">
        <f t="shared" si="27"/>
        <v>0</v>
      </c>
      <c r="K213" s="78">
        <f t="shared" si="28"/>
        <v>0</v>
      </c>
      <c r="L213" s="78">
        <f t="shared" si="29"/>
        <v>0</v>
      </c>
      <c r="M213" s="78">
        <f t="shared" si="30"/>
        <v>0</v>
      </c>
      <c r="N213" s="78">
        <f t="shared" si="31"/>
        <v>0</v>
      </c>
      <c r="O213" s="79">
        <f t="shared" si="32"/>
        <v>0</v>
      </c>
    </row>
    <row r="214" spans="2:15" s="61" customFormat="1" ht="19" customHeight="1" x14ac:dyDescent="0.2">
      <c r="B214" s="24"/>
      <c r="C214" s="24"/>
      <c r="D214" s="36"/>
      <c r="E214" s="24"/>
      <c r="F214" s="77" t="str">
        <f t="shared" si="25"/>
        <v/>
      </c>
      <c r="G214" s="24"/>
      <c r="I214" s="78">
        <f t="shared" si="26"/>
        <v>0</v>
      </c>
      <c r="J214" s="78">
        <f t="shared" si="27"/>
        <v>0</v>
      </c>
      <c r="K214" s="78">
        <f t="shared" si="28"/>
        <v>0</v>
      </c>
      <c r="L214" s="78">
        <f t="shared" si="29"/>
        <v>0</v>
      </c>
      <c r="M214" s="78">
        <f t="shared" si="30"/>
        <v>0</v>
      </c>
      <c r="N214" s="78">
        <f t="shared" si="31"/>
        <v>0</v>
      </c>
      <c r="O214" s="79">
        <f t="shared" si="32"/>
        <v>0</v>
      </c>
    </row>
    <row r="215" spans="2:15" s="61" customFormat="1" ht="19" customHeight="1" x14ac:dyDescent="0.2">
      <c r="B215" s="24"/>
      <c r="C215" s="24"/>
      <c r="D215" s="36"/>
      <c r="E215" s="24"/>
      <c r="F215" s="77" t="str">
        <f t="shared" si="25"/>
        <v/>
      </c>
      <c r="G215" s="24"/>
      <c r="I215" s="78">
        <f t="shared" si="26"/>
        <v>0</v>
      </c>
      <c r="J215" s="78">
        <f t="shared" si="27"/>
        <v>0</v>
      </c>
      <c r="K215" s="78">
        <f t="shared" si="28"/>
        <v>0</v>
      </c>
      <c r="L215" s="78">
        <f t="shared" si="29"/>
        <v>0</v>
      </c>
      <c r="M215" s="78">
        <f t="shared" si="30"/>
        <v>0</v>
      </c>
      <c r="N215" s="78">
        <f t="shared" si="31"/>
        <v>0</v>
      </c>
      <c r="O215" s="79">
        <f t="shared" si="32"/>
        <v>0</v>
      </c>
    </row>
    <row r="216" spans="2:15" s="61" customFormat="1" ht="19" customHeight="1" x14ac:dyDescent="0.2">
      <c r="B216" s="24"/>
      <c r="C216" s="24"/>
      <c r="D216" s="36"/>
      <c r="E216" s="24"/>
      <c r="F216" s="77" t="str">
        <f t="shared" si="25"/>
        <v/>
      </c>
      <c r="G216" s="24"/>
      <c r="I216" s="78">
        <f t="shared" si="26"/>
        <v>0</v>
      </c>
      <c r="J216" s="78">
        <f t="shared" si="27"/>
        <v>0</v>
      </c>
      <c r="K216" s="78">
        <f t="shared" si="28"/>
        <v>0</v>
      </c>
      <c r="L216" s="78">
        <f t="shared" si="29"/>
        <v>0</v>
      </c>
      <c r="M216" s="78">
        <f t="shared" si="30"/>
        <v>0</v>
      </c>
      <c r="N216" s="78">
        <f t="shared" si="31"/>
        <v>0</v>
      </c>
      <c r="O216" s="79">
        <f t="shared" si="32"/>
        <v>0</v>
      </c>
    </row>
    <row r="217" spans="2:15" s="61" customFormat="1" ht="19" customHeight="1" x14ac:dyDescent="0.2">
      <c r="B217" s="24"/>
      <c r="C217" s="24"/>
      <c r="D217" s="36"/>
      <c r="E217" s="24"/>
      <c r="F217" s="77" t="str">
        <f t="shared" si="25"/>
        <v/>
      </c>
      <c r="G217" s="24"/>
      <c r="I217" s="78">
        <f t="shared" si="26"/>
        <v>0</v>
      </c>
      <c r="J217" s="78">
        <f t="shared" si="27"/>
        <v>0</v>
      </c>
      <c r="K217" s="78">
        <f t="shared" si="28"/>
        <v>0</v>
      </c>
      <c r="L217" s="78">
        <f t="shared" si="29"/>
        <v>0</v>
      </c>
      <c r="M217" s="78">
        <f t="shared" si="30"/>
        <v>0</v>
      </c>
      <c r="N217" s="78">
        <f t="shared" si="31"/>
        <v>0</v>
      </c>
      <c r="O217" s="79">
        <f t="shared" si="32"/>
        <v>0</v>
      </c>
    </row>
    <row r="218" spans="2:15" s="61" customFormat="1" ht="19" customHeight="1" x14ac:dyDescent="0.2">
      <c r="B218" s="24"/>
      <c r="C218" s="24"/>
      <c r="D218" s="36"/>
      <c r="E218" s="24"/>
      <c r="F218" s="77" t="str">
        <f t="shared" si="25"/>
        <v/>
      </c>
      <c r="G218" s="24"/>
      <c r="I218" s="78">
        <f t="shared" si="26"/>
        <v>0</v>
      </c>
      <c r="J218" s="78">
        <f t="shared" si="27"/>
        <v>0</v>
      </c>
      <c r="K218" s="78">
        <f t="shared" si="28"/>
        <v>0</v>
      </c>
      <c r="L218" s="78">
        <f t="shared" si="29"/>
        <v>0</v>
      </c>
      <c r="M218" s="78">
        <f t="shared" si="30"/>
        <v>0</v>
      </c>
      <c r="N218" s="78">
        <f t="shared" si="31"/>
        <v>0</v>
      </c>
      <c r="O218" s="79">
        <f t="shared" si="32"/>
        <v>0</v>
      </c>
    </row>
    <row r="219" spans="2:15" s="61" customFormat="1" ht="19" customHeight="1" x14ac:dyDescent="0.2">
      <c r="B219" s="24"/>
      <c r="C219" s="24"/>
      <c r="D219" s="36"/>
      <c r="E219" s="24"/>
      <c r="F219" s="77" t="str">
        <f t="shared" si="25"/>
        <v/>
      </c>
      <c r="G219" s="24"/>
      <c r="I219" s="78">
        <f t="shared" si="26"/>
        <v>0</v>
      </c>
      <c r="J219" s="78">
        <f t="shared" si="27"/>
        <v>0</v>
      </c>
      <c r="K219" s="78">
        <f t="shared" si="28"/>
        <v>0</v>
      </c>
      <c r="L219" s="78">
        <f t="shared" si="29"/>
        <v>0</v>
      </c>
      <c r="M219" s="78">
        <f t="shared" si="30"/>
        <v>0</v>
      </c>
      <c r="N219" s="78">
        <f t="shared" si="31"/>
        <v>0</v>
      </c>
      <c r="O219" s="79">
        <f t="shared" si="32"/>
        <v>0</v>
      </c>
    </row>
    <row r="220" spans="2:15" s="61" customFormat="1" ht="19" customHeight="1" x14ac:dyDescent="0.2">
      <c r="B220" s="24"/>
      <c r="C220" s="24"/>
      <c r="D220" s="36"/>
      <c r="E220" s="24"/>
      <c r="F220" s="77" t="str">
        <f t="shared" si="25"/>
        <v/>
      </c>
      <c r="G220" s="24"/>
      <c r="I220" s="78">
        <f t="shared" si="26"/>
        <v>0</v>
      </c>
      <c r="J220" s="78">
        <f t="shared" si="27"/>
        <v>0</v>
      </c>
      <c r="K220" s="78">
        <f t="shared" si="28"/>
        <v>0</v>
      </c>
      <c r="L220" s="78">
        <f t="shared" si="29"/>
        <v>0</v>
      </c>
      <c r="M220" s="78">
        <f t="shared" si="30"/>
        <v>0</v>
      </c>
      <c r="N220" s="78">
        <f t="shared" si="31"/>
        <v>0</v>
      </c>
      <c r="O220" s="79">
        <f t="shared" si="32"/>
        <v>0</v>
      </c>
    </row>
    <row r="221" spans="2:15" s="61" customFormat="1" ht="19" customHeight="1" x14ac:dyDescent="0.2">
      <c r="B221" s="24"/>
      <c r="C221" s="24"/>
      <c r="D221" s="36"/>
      <c r="E221" s="24"/>
      <c r="F221" s="77" t="str">
        <f t="shared" si="25"/>
        <v/>
      </c>
      <c r="G221" s="24"/>
      <c r="I221" s="78">
        <f t="shared" si="26"/>
        <v>0</v>
      </c>
      <c r="J221" s="78">
        <f t="shared" si="27"/>
        <v>0</v>
      </c>
      <c r="K221" s="78">
        <f t="shared" si="28"/>
        <v>0</v>
      </c>
      <c r="L221" s="78">
        <f t="shared" si="29"/>
        <v>0</v>
      </c>
      <c r="M221" s="78">
        <f t="shared" si="30"/>
        <v>0</v>
      </c>
      <c r="N221" s="78">
        <f t="shared" si="31"/>
        <v>0</v>
      </c>
      <c r="O221" s="79">
        <f t="shared" si="32"/>
        <v>0</v>
      </c>
    </row>
    <row r="222" spans="2:15" s="61" customFormat="1" ht="19" customHeight="1" x14ac:dyDescent="0.2">
      <c r="B222" s="24"/>
      <c r="C222" s="24"/>
      <c r="D222" s="36"/>
      <c r="E222" s="24"/>
      <c r="F222" s="77" t="str">
        <f t="shared" si="25"/>
        <v/>
      </c>
      <c r="G222" s="24"/>
      <c r="I222" s="78">
        <f t="shared" si="26"/>
        <v>0</v>
      </c>
      <c r="J222" s="78">
        <f t="shared" si="27"/>
        <v>0</v>
      </c>
      <c r="K222" s="78">
        <f t="shared" si="28"/>
        <v>0</v>
      </c>
      <c r="L222" s="78">
        <f t="shared" si="29"/>
        <v>0</v>
      </c>
      <c r="M222" s="78">
        <f t="shared" si="30"/>
        <v>0</v>
      </c>
      <c r="N222" s="78">
        <f t="shared" si="31"/>
        <v>0</v>
      </c>
      <c r="O222" s="79">
        <f t="shared" si="32"/>
        <v>0</v>
      </c>
    </row>
    <row r="223" spans="2:15" s="61" customFormat="1" ht="19" customHeight="1" x14ac:dyDescent="0.2">
      <c r="B223" s="24"/>
      <c r="C223" s="24"/>
      <c r="D223" s="36"/>
      <c r="E223" s="24"/>
      <c r="F223" s="77" t="str">
        <f t="shared" si="25"/>
        <v/>
      </c>
      <c r="G223" s="24"/>
      <c r="I223" s="78">
        <f t="shared" si="26"/>
        <v>0</v>
      </c>
      <c r="J223" s="78">
        <f t="shared" si="27"/>
        <v>0</v>
      </c>
      <c r="K223" s="78">
        <f t="shared" si="28"/>
        <v>0</v>
      </c>
      <c r="L223" s="78">
        <f t="shared" si="29"/>
        <v>0</v>
      </c>
      <c r="M223" s="78">
        <f t="shared" si="30"/>
        <v>0</v>
      </c>
      <c r="N223" s="78">
        <f t="shared" si="31"/>
        <v>0</v>
      </c>
      <c r="O223" s="79">
        <f t="shared" si="32"/>
        <v>0</v>
      </c>
    </row>
    <row r="224" spans="2:15" s="61" customFormat="1" ht="19" customHeight="1" x14ac:dyDescent="0.2">
      <c r="B224" s="24"/>
      <c r="C224" s="24"/>
      <c r="D224" s="36"/>
      <c r="E224" s="24"/>
      <c r="F224" s="77" t="str">
        <f t="shared" si="25"/>
        <v/>
      </c>
      <c r="G224" s="24"/>
      <c r="I224" s="78">
        <f t="shared" si="26"/>
        <v>0</v>
      </c>
      <c r="J224" s="78">
        <f t="shared" si="27"/>
        <v>0</v>
      </c>
      <c r="K224" s="78">
        <f t="shared" si="28"/>
        <v>0</v>
      </c>
      <c r="L224" s="78">
        <f t="shared" si="29"/>
        <v>0</v>
      </c>
      <c r="M224" s="78">
        <f t="shared" si="30"/>
        <v>0</v>
      </c>
      <c r="N224" s="78">
        <f t="shared" si="31"/>
        <v>0</v>
      </c>
      <c r="O224" s="79">
        <f t="shared" si="32"/>
        <v>0</v>
      </c>
    </row>
    <row r="225" spans="2:15" s="61" customFormat="1" ht="19" customHeight="1" x14ac:dyDescent="0.2">
      <c r="B225" s="24"/>
      <c r="C225" s="24"/>
      <c r="D225" s="36"/>
      <c r="E225" s="24"/>
      <c r="F225" s="77" t="str">
        <f t="shared" si="25"/>
        <v/>
      </c>
      <c r="G225" s="24"/>
      <c r="I225" s="78">
        <f t="shared" si="26"/>
        <v>0</v>
      </c>
      <c r="J225" s="78">
        <f t="shared" si="27"/>
        <v>0</v>
      </c>
      <c r="K225" s="78">
        <f t="shared" si="28"/>
        <v>0</v>
      </c>
      <c r="L225" s="78">
        <f t="shared" si="29"/>
        <v>0</v>
      </c>
      <c r="M225" s="78">
        <f t="shared" si="30"/>
        <v>0</v>
      </c>
      <c r="N225" s="78">
        <f t="shared" si="31"/>
        <v>0</v>
      </c>
      <c r="O225" s="79">
        <f t="shared" si="32"/>
        <v>0</v>
      </c>
    </row>
    <row r="226" spans="2:15" s="61" customFormat="1" ht="19" customHeight="1" x14ac:dyDescent="0.2">
      <c r="B226" s="24"/>
      <c r="C226" s="24"/>
      <c r="D226" s="36"/>
      <c r="E226" s="24"/>
      <c r="F226" s="77" t="str">
        <f t="shared" si="25"/>
        <v/>
      </c>
      <c r="G226" s="24"/>
      <c r="I226" s="78">
        <f t="shared" si="26"/>
        <v>0</v>
      </c>
      <c r="J226" s="78">
        <f t="shared" si="27"/>
        <v>0</v>
      </c>
      <c r="K226" s="78">
        <f t="shared" si="28"/>
        <v>0</v>
      </c>
      <c r="L226" s="78">
        <f t="shared" si="29"/>
        <v>0</v>
      </c>
      <c r="M226" s="78">
        <f t="shared" si="30"/>
        <v>0</v>
      </c>
      <c r="N226" s="78">
        <f t="shared" si="31"/>
        <v>0</v>
      </c>
      <c r="O226" s="79">
        <f t="shared" si="32"/>
        <v>0</v>
      </c>
    </row>
    <row r="227" spans="2:15" s="61" customFormat="1" ht="19" customHeight="1" x14ac:dyDescent="0.2">
      <c r="B227" s="24"/>
      <c r="C227" s="24"/>
      <c r="D227" s="36"/>
      <c r="E227" s="24"/>
      <c r="F227" s="77" t="str">
        <f t="shared" si="25"/>
        <v/>
      </c>
      <c r="G227" s="24"/>
      <c r="I227" s="78">
        <f t="shared" si="26"/>
        <v>0</v>
      </c>
      <c r="J227" s="78">
        <f t="shared" si="27"/>
        <v>0</v>
      </c>
      <c r="K227" s="78">
        <f t="shared" si="28"/>
        <v>0</v>
      </c>
      <c r="L227" s="78">
        <f t="shared" si="29"/>
        <v>0</v>
      </c>
      <c r="M227" s="78">
        <f t="shared" si="30"/>
        <v>0</v>
      </c>
      <c r="N227" s="78">
        <f t="shared" si="31"/>
        <v>0</v>
      </c>
      <c r="O227" s="79">
        <f t="shared" si="32"/>
        <v>0</v>
      </c>
    </row>
    <row r="228" spans="2:15" s="61" customFormat="1" ht="19" customHeight="1" x14ac:dyDescent="0.2">
      <c r="B228" s="24"/>
      <c r="C228" s="24"/>
      <c r="D228" s="36"/>
      <c r="E228" s="24"/>
      <c r="F228" s="77" t="str">
        <f t="shared" si="25"/>
        <v/>
      </c>
      <c r="G228" s="24"/>
      <c r="I228" s="78">
        <f t="shared" si="26"/>
        <v>0</v>
      </c>
      <c r="J228" s="78">
        <f t="shared" si="27"/>
        <v>0</v>
      </c>
      <c r="K228" s="78">
        <f t="shared" si="28"/>
        <v>0</v>
      </c>
      <c r="L228" s="78">
        <f t="shared" si="29"/>
        <v>0</v>
      </c>
      <c r="M228" s="78">
        <f t="shared" si="30"/>
        <v>0</v>
      </c>
      <c r="N228" s="78">
        <f t="shared" si="31"/>
        <v>0</v>
      </c>
      <c r="O228" s="79">
        <f t="shared" si="32"/>
        <v>0</v>
      </c>
    </row>
    <row r="229" spans="2:15" s="61" customFormat="1" ht="19" customHeight="1" x14ac:dyDescent="0.2">
      <c r="B229" s="24"/>
      <c r="C229" s="24"/>
      <c r="D229" s="36"/>
      <c r="E229" s="24"/>
      <c r="F229" s="77" t="str">
        <f t="shared" si="25"/>
        <v/>
      </c>
      <c r="G229" s="24"/>
      <c r="I229" s="78">
        <f t="shared" si="26"/>
        <v>0</v>
      </c>
      <c r="J229" s="78">
        <f t="shared" si="27"/>
        <v>0</v>
      </c>
      <c r="K229" s="78">
        <f t="shared" si="28"/>
        <v>0</v>
      </c>
      <c r="L229" s="78">
        <f t="shared" si="29"/>
        <v>0</v>
      </c>
      <c r="M229" s="78">
        <f t="shared" si="30"/>
        <v>0</v>
      </c>
      <c r="N229" s="78">
        <f t="shared" si="31"/>
        <v>0</v>
      </c>
      <c r="O229" s="79">
        <f t="shared" si="32"/>
        <v>0</v>
      </c>
    </row>
    <row r="230" spans="2:15" s="61" customFormat="1" ht="19" customHeight="1" x14ac:dyDescent="0.2">
      <c r="B230" s="24"/>
      <c r="C230" s="24"/>
      <c r="D230" s="36"/>
      <c r="E230" s="24"/>
      <c r="F230" s="77" t="str">
        <f t="shared" si="25"/>
        <v/>
      </c>
      <c r="G230" s="24"/>
      <c r="I230" s="78">
        <f t="shared" si="26"/>
        <v>0</v>
      </c>
      <c r="J230" s="78">
        <f t="shared" si="27"/>
        <v>0</v>
      </c>
      <c r="K230" s="78">
        <f t="shared" si="28"/>
        <v>0</v>
      </c>
      <c r="L230" s="78">
        <f t="shared" si="29"/>
        <v>0</v>
      </c>
      <c r="M230" s="78">
        <f t="shared" si="30"/>
        <v>0</v>
      </c>
      <c r="N230" s="78">
        <f t="shared" si="31"/>
        <v>0</v>
      </c>
      <c r="O230" s="79">
        <f t="shared" si="32"/>
        <v>0</v>
      </c>
    </row>
    <row r="231" spans="2:15" s="61" customFormat="1" ht="19" customHeight="1" x14ac:dyDescent="0.2">
      <c r="B231" s="24"/>
      <c r="C231" s="24"/>
      <c r="D231" s="36"/>
      <c r="E231" s="24"/>
      <c r="F231" s="77" t="str">
        <f t="shared" si="25"/>
        <v/>
      </c>
      <c r="G231" s="24"/>
      <c r="I231" s="78">
        <f t="shared" si="26"/>
        <v>0</v>
      </c>
      <c r="J231" s="78">
        <f t="shared" si="27"/>
        <v>0</v>
      </c>
      <c r="K231" s="78">
        <f t="shared" si="28"/>
        <v>0</v>
      </c>
      <c r="L231" s="78">
        <f t="shared" si="29"/>
        <v>0</v>
      </c>
      <c r="M231" s="78">
        <f t="shared" si="30"/>
        <v>0</v>
      </c>
      <c r="N231" s="78">
        <f t="shared" si="31"/>
        <v>0</v>
      </c>
      <c r="O231" s="79">
        <f t="shared" si="32"/>
        <v>0</v>
      </c>
    </row>
    <row r="232" spans="2:15" s="61" customFormat="1" ht="19" customHeight="1" x14ac:dyDescent="0.2">
      <c r="B232" s="24"/>
      <c r="C232" s="24"/>
      <c r="D232" s="36"/>
      <c r="E232" s="24"/>
      <c r="F232" s="77" t="str">
        <f t="shared" si="25"/>
        <v/>
      </c>
      <c r="G232" s="24"/>
      <c r="I232" s="78">
        <f t="shared" si="26"/>
        <v>0</v>
      </c>
      <c r="J232" s="78">
        <f t="shared" si="27"/>
        <v>0</v>
      </c>
      <c r="K232" s="78">
        <f t="shared" si="28"/>
        <v>0</v>
      </c>
      <c r="L232" s="78">
        <f t="shared" si="29"/>
        <v>0</v>
      </c>
      <c r="M232" s="78">
        <f t="shared" si="30"/>
        <v>0</v>
      </c>
      <c r="N232" s="78">
        <f t="shared" si="31"/>
        <v>0</v>
      </c>
      <c r="O232" s="79">
        <f t="shared" si="32"/>
        <v>0</v>
      </c>
    </row>
    <row r="233" spans="2:15" s="61" customFormat="1" ht="19" customHeight="1" x14ac:dyDescent="0.2">
      <c r="B233" s="24"/>
      <c r="C233" s="24"/>
      <c r="D233" s="36"/>
      <c r="E233" s="24"/>
      <c r="F233" s="77" t="str">
        <f t="shared" si="25"/>
        <v/>
      </c>
      <c r="G233" s="24"/>
      <c r="I233" s="78">
        <f t="shared" si="26"/>
        <v>0</v>
      </c>
      <c r="J233" s="78">
        <f t="shared" si="27"/>
        <v>0</v>
      </c>
      <c r="K233" s="78">
        <f t="shared" si="28"/>
        <v>0</v>
      </c>
      <c r="L233" s="78">
        <f t="shared" si="29"/>
        <v>0</v>
      </c>
      <c r="M233" s="78">
        <f t="shared" si="30"/>
        <v>0</v>
      </c>
      <c r="N233" s="78">
        <f t="shared" si="31"/>
        <v>0</v>
      </c>
      <c r="O233" s="79">
        <f t="shared" si="32"/>
        <v>0</v>
      </c>
    </row>
    <row r="234" spans="2:15" s="61" customFormat="1" ht="19" customHeight="1" x14ac:dyDescent="0.2">
      <c r="B234" s="24"/>
      <c r="C234" s="24"/>
      <c r="D234" s="36"/>
      <c r="E234" s="24"/>
      <c r="F234" s="77" t="str">
        <f t="shared" si="25"/>
        <v/>
      </c>
      <c r="G234" s="24"/>
      <c r="I234" s="78">
        <f t="shared" si="26"/>
        <v>0</v>
      </c>
      <c r="J234" s="78">
        <f t="shared" si="27"/>
        <v>0</v>
      </c>
      <c r="K234" s="78">
        <f t="shared" si="28"/>
        <v>0</v>
      </c>
      <c r="L234" s="78">
        <f t="shared" si="29"/>
        <v>0</v>
      </c>
      <c r="M234" s="78">
        <f t="shared" si="30"/>
        <v>0</v>
      </c>
      <c r="N234" s="78">
        <f t="shared" si="31"/>
        <v>0</v>
      </c>
      <c r="O234" s="79">
        <f t="shared" si="32"/>
        <v>0</v>
      </c>
    </row>
    <row r="235" spans="2:15" s="61" customFormat="1" ht="19" customHeight="1" x14ac:dyDescent="0.2">
      <c r="B235" s="24"/>
      <c r="C235" s="24"/>
      <c r="D235" s="36"/>
      <c r="E235" s="24"/>
      <c r="F235" s="77" t="str">
        <f t="shared" si="25"/>
        <v/>
      </c>
      <c r="G235" s="24"/>
      <c r="I235" s="78">
        <f t="shared" si="26"/>
        <v>0</v>
      </c>
      <c r="J235" s="78">
        <f t="shared" si="27"/>
        <v>0</v>
      </c>
      <c r="K235" s="78">
        <f t="shared" si="28"/>
        <v>0</v>
      </c>
      <c r="L235" s="78">
        <f t="shared" si="29"/>
        <v>0</v>
      </c>
      <c r="M235" s="78">
        <f t="shared" si="30"/>
        <v>0</v>
      </c>
      <c r="N235" s="78">
        <f t="shared" si="31"/>
        <v>0</v>
      </c>
      <c r="O235" s="79">
        <f t="shared" si="32"/>
        <v>0</v>
      </c>
    </row>
    <row r="236" spans="2:15" s="61" customFormat="1" ht="19" customHeight="1" x14ac:dyDescent="0.2">
      <c r="B236" s="24"/>
      <c r="C236" s="24"/>
      <c r="D236" s="36"/>
      <c r="E236" s="24"/>
      <c r="F236" s="77" t="str">
        <f t="shared" si="25"/>
        <v/>
      </c>
      <c r="G236" s="24"/>
      <c r="I236" s="78">
        <f t="shared" si="26"/>
        <v>0</v>
      </c>
      <c r="J236" s="78">
        <f t="shared" si="27"/>
        <v>0</v>
      </c>
      <c r="K236" s="78">
        <f t="shared" si="28"/>
        <v>0</v>
      </c>
      <c r="L236" s="78">
        <f t="shared" si="29"/>
        <v>0</v>
      </c>
      <c r="M236" s="78">
        <f t="shared" si="30"/>
        <v>0</v>
      </c>
      <c r="N236" s="78">
        <f t="shared" si="31"/>
        <v>0</v>
      </c>
      <c r="O236" s="79">
        <f t="shared" si="32"/>
        <v>0</v>
      </c>
    </row>
    <row r="237" spans="2:15" s="61" customFormat="1" ht="19" customHeight="1" x14ac:dyDescent="0.2">
      <c r="B237" s="24"/>
      <c r="C237" s="24"/>
      <c r="D237" s="36"/>
      <c r="E237" s="24"/>
      <c r="F237" s="77" t="str">
        <f t="shared" si="25"/>
        <v/>
      </c>
      <c r="G237" s="24"/>
      <c r="I237" s="78">
        <f t="shared" si="26"/>
        <v>0</v>
      </c>
      <c r="J237" s="78">
        <f t="shared" si="27"/>
        <v>0</v>
      </c>
      <c r="K237" s="78">
        <f t="shared" si="28"/>
        <v>0</v>
      </c>
      <c r="L237" s="78">
        <f t="shared" si="29"/>
        <v>0</v>
      </c>
      <c r="M237" s="78">
        <f t="shared" si="30"/>
        <v>0</v>
      </c>
      <c r="N237" s="78">
        <f t="shared" si="31"/>
        <v>0</v>
      </c>
      <c r="O237" s="79">
        <f t="shared" si="32"/>
        <v>0</v>
      </c>
    </row>
    <row r="238" spans="2:15" s="61" customFormat="1" ht="19" customHeight="1" x14ac:dyDescent="0.2">
      <c r="B238" s="24"/>
      <c r="C238" s="24"/>
      <c r="D238" s="36"/>
      <c r="E238" s="24"/>
      <c r="F238" s="77" t="str">
        <f t="shared" si="25"/>
        <v/>
      </c>
      <c r="G238" s="24"/>
      <c r="I238" s="78">
        <f t="shared" si="26"/>
        <v>0</v>
      </c>
      <c r="J238" s="78">
        <f t="shared" si="27"/>
        <v>0</v>
      </c>
      <c r="K238" s="78">
        <f t="shared" si="28"/>
        <v>0</v>
      </c>
      <c r="L238" s="78">
        <f t="shared" si="29"/>
        <v>0</v>
      </c>
      <c r="M238" s="78">
        <f t="shared" si="30"/>
        <v>0</v>
      </c>
      <c r="N238" s="78">
        <f t="shared" si="31"/>
        <v>0</v>
      </c>
      <c r="O238" s="79">
        <f t="shared" si="32"/>
        <v>0</v>
      </c>
    </row>
    <row r="239" spans="2:15" s="61" customFormat="1" ht="19" customHeight="1" x14ac:dyDescent="0.2">
      <c r="B239" s="24"/>
      <c r="C239" s="24"/>
      <c r="D239" s="36"/>
      <c r="E239" s="24"/>
      <c r="F239" s="77" t="str">
        <f t="shared" si="25"/>
        <v/>
      </c>
      <c r="G239" s="24"/>
      <c r="I239" s="78">
        <f t="shared" si="26"/>
        <v>0</v>
      </c>
      <c r="J239" s="78">
        <f t="shared" si="27"/>
        <v>0</v>
      </c>
      <c r="K239" s="78">
        <f t="shared" si="28"/>
        <v>0</v>
      </c>
      <c r="L239" s="78">
        <f t="shared" si="29"/>
        <v>0</v>
      </c>
      <c r="M239" s="78">
        <f t="shared" si="30"/>
        <v>0</v>
      </c>
      <c r="N239" s="78">
        <f t="shared" si="31"/>
        <v>0</v>
      </c>
      <c r="O239" s="79">
        <f t="shared" si="32"/>
        <v>0</v>
      </c>
    </row>
    <row r="240" spans="2:15" s="61" customFormat="1" ht="19" customHeight="1" x14ac:dyDescent="0.2">
      <c r="B240" s="24"/>
      <c r="C240" s="24"/>
      <c r="D240" s="36"/>
      <c r="E240" s="24"/>
      <c r="F240" s="77" t="str">
        <f t="shared" si="25"/>
        <v/>
      </c>
      <c r="G240" s="24"/>
      <c r="I240" s="78">
        <f t="shared" si="26"/>
        <v>0</v>
      </c>
      <c r="J240" s="78">
        <f t="shared" si="27"/>
        <v>0</v>
      </c>
      <c r="K240" s="78">
        <f t="shared" si="28"/>
        <v>0</v>
      </c>
      <c r="L240" s="78">
        <f t="shared" si="29"/>
        <v>0</v>
      </c>
      <c r="M240" s="78">
        <f t="shared" si="30"/>
        <v>0</v>
      </c>
      <c r="N240" s="78">
        <f t="shared" si="31"/>
        <v>0</v>
      </c>
      <c r="O240" s="79">
        <f t="shared" si="32"/>
        <v>0</v>
      </c>
    </row>
    <row r="241" spans="2:15" s="61" customFormat="1" ht="19" customHeight="1" x14ac:dyDescent="0.2">
      <c r="B241" s="24"/>
      <c r="C241" s="24"/>
      <c r="D241" s="36"/>
      <c r="E241" s="24"/>
      <c r="F241" s="77" t="str">
        <f t="shared" si="25"/>
        <v/>
      </c>
      <c r="G241" s="24"/>
      <c r="I241" s="78">
        <f t="shared" si="26"/>
        <v>0</v>
      </c>
      <c r="J241" s="78">
        <f t="shared" si="27"/>
        <v>0</v>
      </c>
      <c r="K241" s="78">
        <f t="shared" si="28"/>
        <v>0</v>
      </c>
      <c r="L241" s="78">
        <f t="shared" si="29"/>
        <v>0</v>
      </c>
      <c r="M241" s="78">
        <f t="shared" si="30"/>
        <v>0</v>
      </c>
      <c r="N241" s="78">
        <f t="shared" si="31"/>
        <v>0</v>
      </c>
      <c r="O241" s="79">
        <f t="shared" si="32"/>
        <v>0</v>
      </c>
    </row>
    <row r="242" spans="2:15" s="61" customFormat="1" ht="19" customHeight="1" x14ac:dyDescent="0.2">
      <c r="B242" s="24"/>
      <c r="C242" s="24"/>
      <c r="D242" s="36"/>
      <c r="E242" s="24"/>
      <c r="F242" s="77" t="str">
        <f t="shared" si="25"/>
        <v/>
      </c>
      <c r="G242" s="24"/>
      <c r="I242" s="78">
        <f t="shared" si="26"/>
        <v>0</v>
      </c>
      <c r="J242" s="78">
        <f t="shared" si="27"/>
        <v>0</v>
      </c>
      <c r="K242" s="78">
        <f t="shared" si="28"/>
        <v>0</v>
      </c>
      <c r="L242" s="78">
        <f t="shared" si="29"/>
        <v>0</v>
      </c>
      <c r="M242" s="78">
        <f t="shared" si="30"/>
        <v>0</v>
      </c>
      <c r="N242" s="78">
        <f t="shared" si="31"/>
        <v>0</v>
      </c>
      <c r="O242" s="79">
        <f t="shared" si="32"/>
        <v>0</v>
      </c>
    </row>
    <row r="243" spans="2:15" s="61" customFormat="1" ht="19" customHeight="1" x14ac:dyDescent="0.2">
      <c r="B243" s="24"/>
      <c r="C243" s="24"/>
      <c r="D243" s="36"/>
      <c r="E243" s="24"/>
      <c r="F243" s="77" t="str">
        <f t="shared" si="25"/>
        <v/>
      </c>
      <c r="G243" s="24"/>
      <c r="I243" s="78">
        <f t="shared" si="26"/>
        <v>0</v>
      </c>
      <c r="J243" s="78">
        <f t="shared" si="27"/>
        <v>0</v>
      </c>
      <c r="K243" s="78">
        <f t="shared" si="28"/>
        <v>0</v>
      </c>
      <c r="L243" s="78">
        <f t="shared" si="29"/>
        <v>0</v>
      </c>
      <c r="M243" s="78">
        <f t="shared" si="30"/>
        <v>0</v>
      </c>
      <c r="N243" s="78">
        <f t="shared" si="31"/>
        <v>0</v>
      </c>
      <c r="O243" s="79">
        <f t="shared" si="32"/>
        <v>0</v>
      </c>
    </row>
    <row r="244" spans="2:15" s="61" customFormat="1" ht="19" customHeight="1" x14ac:dyDescent="0.2">
      <c r="B244" s="24"/>
      <c r="C244" s="24"/>
      <c r="D244" s="36"/>
      <c r="E244" s="24"/>
      <c r="F244" s="77" t="str">
        <f t="shared" si="25"/>
        <v/>
      </c>
      <c r="G244" s="24"/>
      <c r="I244" s="78">
        <f t="shared" si="26"/>
        <v>0</v>
      </c>
      <c r="J244" s="78">
        <f t="shared" si="27"/>
        <v>0</v>
      </c>
      <c r="K244" s="78">
        <f t="shared" si="28"/>
        <v>0</v>
      </c>
      <c r="L244" s="78">
        <f t="shared" si="29"/>
        <v>0</v>
      </c>
      <c r="M244" s="78">
        <f t="shared" si="30"/>
        <v>0</v>
      </c>
      <c r="N244" s="78">
        <f t="shared" si="31"/>
        <v>0</v>
      </c>
      <c r="O244" s="79">
        <f t="shared" si="32"/>
        <v>0</v>
      </c>
    </row>
    <row r="245" spans="2:15" s="61" customFormat="1" ht="19" customHeight="1" x14ac:dyDescent="0.2">
      <c r="B245" s="24"/>
      <c r="C245" s="24"/>
      <c r="D245" s="36"/>
      <c r="E245" s="24"/>
      <c r="F245" s="77" t="str">
        <f t="shared" si="25"/>
        <v/>
      </c>
      <c r="G245" s="24"/>
      <c r="I245" s="78">
        <f t="shared" si="26"/>
        <v>0</v>
      </c>
      <c r="J245" s="78">
        <f t="shared" si="27"/>
        <v>0</v>
      </c>
      <c r="K245" s="78">
        <f t="shared" si="28"/>
        <v>0</v>
      </c>
      <c r="L245" s="78">
        <f t="shared" si="29"/>
        <v>0</v>
      </c>
      <c r="M245" s="78">
        <f t="shared" si="30"/>
        <v>0</v>
      </c>
      <c r="N245" s="78">
        <f t="shared" si="31"/>
        <v>0</v>
      </c>
      <c r="O245" s="79">
        <f t="shared" si="32"/>
        <v>0</v>
      </c>
    </row>
    <row r="246" spans="2:15" s="61" customFormat="1" ht="19" customHeight="1" x14ac:dyDescent="0.2">
      <c r="B246" s="24"/>
      <c r="C246" s="24"/>
      <c r="D246" s="36"/>
      <c r="E246" s="24"/>
      <c r="F246" s="77" t="str">
        <f t="shared" si="25"/>
        <v/>
      </c>
      <c r="G246" s="24"/>
      <c r="I246" s="78">
        <f t="shared" si="26"/>
        <v>0</v>
      </c>
      <c r="J246" s="78">
        <f t="shared" si="27"/>
        <v>0</v>
      </c>
      <c r="K246" s="78">
        <f t="shared" si="28"/>
        <v>0</v>
      </c>
      <c r="L246" s="78">
        <f t="shared" si="29"/>
        <v>0</v>
      </c>
      <c r="M246" s="78">
        <f t="shared" si="30"/>
        <v>0</v>
      </c>
      <c r="N246" s="78">
        <f t="shared" si="31"/>
        <v>0</v>
      </c>
      <c r="O246" s="79">
        <f t="shared" si="32"/>
        <v>0</v>
      </c>
    </row>
    <row r="247" spans="2:15" s="61" customFormat="1" ht="19" customHeight="1" x14ac:dyDescent="0.2">
      <c r="B247" s="24"/>
      <c r="C247" s="24"/>
      <c r="D247" s="36"/>
      <c r="E247" s="24"/>
      <c r="F247" s="77" t="str">
        <f t="shared" si="25"/>
        <v/>
      </c>
      <c r="G247" s="24"/>
      <c r="I247" s="78">
        <f t="shared" si="26"/>
        <v>0</v>
      </c>
      <c r="J247" s="78">
        <f t="shared" si="27"/>
        <v>0</v>
      </c>
      <c r="K247" s="78">
        <f t="shared" si="28"/>
        <v>0</v>
      </c>
      <c r="L247" s="78">
        <f t="shared" si="29"/>
        <v>0</v>
      </c>
      <c r="M247" s="78">
        <f t="shared" si="30"/>
        <v>0</v>
      </c>
      <c r="N247" s="78">
        <f t="shared" si="31"/>
        <v>0</v>
      </c>
      <c r="O247" s="79">
        <f t="shared" si="32"/>
        <v>0</v>
      </c>
    </row>
    <row r="248" spans="2:15" s="61" customFormat="1" ht="19" customHeight="1" x14ac:dyDescent="0.2">
      <c r="B248" s="24"/>
      <c r="C248" s="24"/>
      <c r="D248" s="36"/>
      <c r="E248" s="24"/>
      <c r="F248" s="77" t="str">
        <f t="shared" si="25"/>
        <v/>
      </c>
      <c r="G248" s="24"/>
      <c r="I248" s="78">
        <f t="shared" si="26"/>
        <v>0</v>
      </c>
      <c r="J248" s="78">
        <f t="shared" si="27"/>
        <v>0</v>
      </c>
      <c r="K248" s="78">
        <f t="shared" si="28"/>
        <v>0</v>
      </c>
      <c r="L248" s="78">
        <f t="shared" si="29"/>
        <v>0</v>
      </c>
      <c r="M248" s="78">
        <f t="shared" si="30"/>
        <v>0</v>
      </c>
      <c r="N248" s="78">
        <f t="shared" si="31"/>
        <v>0</v>
      </c>
      <c r="O248" s="79">
        <f t="shared" si="32"/>
        <v>0</v>
      </c>
    </row>
    <row r="249" spans="2:15" s="61" customFormat="1" ht="19" customHeight="1" x14ac:dyDescent="0.2">
      <c r="B249" s="24"/>
      <c r="C249" s="24"/>
      <c r="D249" s="36"/>
      <c r="E249" s="24"/>
      <c r="F249" s="77" t="str">
        <f t="shared" si="25"/>
        <v/>
      </c>
      <c r="G249" s="24"/>
      <c r="I249" s="78">
        <f t="shared" si="26"/>
        <v>0</v>
      </c>
      <c r="J249" s="78">
        <f t="shared" si="27"/>
        <v>0</v>
      </c>
      <c r="K249" s="78">
        <f t="shared" si="28"/>
        <v>0</v>
      </c>
      <c r="L249" s="78">
        <f t="shared" si="29"/>
        <v>0</v>
      </c>
      <c r="M249" s="78">
        <f t="shared" si="30"/>
        <v>0</v>
      </c>
      <c r="N249" s="78">
        <f t="shared" si="31"/>
        <v>0</v>
      </c>
      <c r="O249" s="79">
        <f t="shared" si="32"/>
        <v>0</v>
      </c>
    </row>
    <row r="250" spans="2:15" s="61" customFormat="1" ht="19" customHeight="1" x14ac:dyDescent="0.2">
      <c r="B250" s="24"/>
      <c r="C250" s="24"/>
      <c r="D250" s="36"/>
      <c r="E250" s="24"/>
      <c r="F250" s="77" t="str">
        <f t="shared" si="25"/>
        <v/>
      </c>
      <c r="G250" s="24"/>
      <c r="I250" s="78">
        <f t="shared" si="26"/>
        <v>0</v>
      </c>
      <c r="J250" s="78">
        <f t="shared" si="27"/>
        <v>0</v>
      </c>
      <c r="K250" s="78">
        <f t="shared" si="28"/>
        <v>0</v>
      </c>
      <c r="L250" s="78">
        <f t="shared" si="29"/>
        <v>0</v>
      </c>
      <c r="M250" s="78">
        <f t="shared" si="30"/>
        <v>0</v>
      </c>
      <c r="N250" s="78">
        <f t="shared" si="31"/>
        <v>0</v>
      </c>
      <c r="O250" s="79">
        <f t="shared" si="32"/>
        <v>0</v>
      </c>
    </row>
    <row r="251" spans="2:15" s="61" customFormat="1" ht="19" customHeight="1" x14ac:dyDescent="0.2">
      <c r="B251" s="24"/>
      <c r="C251" s="24"/>
      <c r="D251" s="36"/>
      <c r="E251" s="24"/>
      <c r="F251" s="77" t="str">
        <f t="shared" si="25"/>
        <v/>
      </c>
      <c r="G251" s="24"/>
      <c r="I251" s="78">
        <f t="shared" si="26"/>
        <v>0</v>
      </c>
      <c r="J251" s="78">
        <f t="shared" si="27"/>
        <v>0</v>
      </c>
      <c r="K251" s="78">
        <f t="shared" si="28"/>
        <v>0</v>
      </c>
      <c r="L251" s="78">
        <f t="shared" si="29"/>
        <v>0</v>
      </c>
      <c r="M251" s="78">
        <f t="shared" si="30"/>
        <v>0</v>
      </c>
      <c r="N251" s="78">
        <f t="shared" si="31"/>
        <v>0</v>
      </c>
      <c r="O251" s="79">
        <f t="shared" si="32"/>
        <v>0</v>
      </c>
    </row>
    <row r="252" spans="2:15" s="61" customFormat="1" ht="19" customHeight="1" x14ac:dyDescent="0.2">
      <c r="B252" s="24"/>
      <c r="C252" s="24"/>
      <c r="D252" s="36"/>
      <c r="E252" s="24"/>
      <c r="F252" s="77" t="str">
        <f t="shared" si="25"/>
        <v/>
      </c>
      <c r="G252" s="24"/>
      <c r="I252" s="78">
        <f t="shared" si="26"/>
        <v>0</v>
      </c>
      <c r="J252" s="78">
        <f t="shared" si="27"/>
        <v>0</v>
      </c>
      <c r="K252" s="78">
        <f t="shared" si="28"/>
        <v>0</v>
      </c>
      <c r="L252" s="78">
        <f t="shared" si="29"/>
        <v>0</v>
      </c>
      <c r="M252" s="78">
        <f t="shared" si="30"/>
        <v>0</v>
      </c>
      <c r="N252" s="78">
        <f t="shared" si="31"/>
        <v>0</v>
      </c>
      <c r="O252" s="79">
        <f t="shared" si="32"/>
        <v>0</v>
      </c>
    </row>
    <row r="253" spans="2:15" s="61" customFormat="1" ht="19" customHeight="1" x14ac:dyDescent="0.2">
      <c r="B253" s="24"/>
      <c r="C253" s="24"/>
      <c r="D253" s="36"/>
      <c r="E253" s="24"/>
      <c r="F253" s="77" t="str">
        <f t="shared" si="25"/>
        <v/>
      </c>
      <c r="G253" s="24"/>
      <c r="I253" s="78">
        <f t="shared" si="26"/>
        <v>0</v>
      </c>
      <c r="J253" s="78">
        <f t="shared" si="27"/>
        <v>0</v>
      </c>
      <c r="K253" s="78">
        <f t="shared" si="28"/>
        <v>0</v>
      </c>
      <c r="L253" s="78">
        <f t="shared" si="29"/>
        <v>0</v>
      </c>
      <c r="M253" s="78">
        <f t="shared" si="30"/>
        <v>0</v>
      </c>
      <c r="N253" s="78">
        <f t="shared" si="31"/>
        <v>0</v>
      </c>
      <c r="O253" s="79">
        <f t="shared" si="32"/>
        <v>0</v>
      </c>
    </row>
    <row r="254" spans="2:15" s="61" customFormat="1" ht="19" customHeight="1" x14ac:dyDescent="0.2">
      <c r="B254" s="24"/>
      <c r="C254" s="24"/>
      <c r="D254" s="36"/>
      <c r="E254" s="24"/>
      <c r="F254" s="77" t="str">
        <f t="shared" si="25"/>
        <v/>
      </c>
      <c r="G254" s="24"/>
      <c r="I254" s="78">
        <f t="shared" si="26"/>
        <v>0</v>
      </c>
      <c r="J254" s="78">
        <f t="shared" si="27"/>
        <v>0</v>
      </c>
      <c r="K254" s="78">
        <f t="shared" si="28"/>
        <v>0</v>
      </c>
      <c r="L254" s="78">
        <f t="shared" si="29"/>
        <v>0</v>
      </c>
      <c r="M254" s="78">
        <f t="shared" si="30"/>
        <v>0</v>
      </c>
      <c r="N254" s="78">
        <f t="shared" si="31"/>
        <v>0</v>
      </c>
      <c r="O254" s="79">
        <f t="shared" si="32"/>
        <v>0</v>
      </c>
    </row>
    <row r="255" spans="2:15" s="61" customFormat="1" ht="19" customHeight="1" x14ac:dyDescent="0.2">
      <c r="B255" s="24"/>
      <c r="C255" s="24"/>
      <c r="D255" s="36"/>
      <c r="E255" s="24"/>
      <c r="F255" s="77" t="str">
        <f t="shared" si="25"/>
        <v/>
      </c>
      <c r="G255" s="24"/>
      <c r="I255" s="78">
        <f t="shared" si="26"/>
        <v>0</v>
      </c>
      <c r="J255" s="78">
        <f t="shared" si="27"/>
        <v>0</v>
      </c>
      <c r="K255" s="78">
        <f t="shared" si="28"/>
        <v>0</v>
      </c>
      <c r="L255" s="78">
        <f t="shared" si="29"/>
        <v>0</v>
      </c>
      <c r="M255" s="78">
        <f t="shared" si="30"/>
        <v>0</v>
      </c>
      <c r="N255" s="78">
        <f t="shared" si="31"/>
        <v>0</v>
      </c>
      <c r="O255" s="79">
        <f t="shared" si="32"/>
        <v>0</v>
      </c>
    </row>
    <row r="256" spans="2:15" s="61" customFormat="1" ht="19" customHeight="1" x14ac:dyDescent="0.2">
      <c r="B256" s="24"/>
      <c r="C256" s="24"/>
      <c r="D256" s="36"/>
      <c r="E256" s="24"/>
      <c r="F256" s="77" t="str">
        <f t="shared" si="25"/>
        <v/>
      </c>
      <c r="G256" s="24"/>
      <c r="I256" s="78">
        <f t="shared" si="26"/>
        <v>0</v>
      </c>
      <c r="J256" s="78">
        <f t="shared" si="27"/>
        <v>0</v>
      </c>
      <c r="K256" s="78">
        <f t="shared" si="28"/>
        <v>0</v>
      </c>
      <c r="L256" s="78">
        <f t="shared" si="29"/>
        <v>0</v>
      </c>
      <c r="M256" s="78">
        <f t="shared" si="30"/>
        <v>0</v>
      </c>
      <c r="N256" s="78">
        <f t="shared" si="31"/>
        <v>0</v>
      </c>
      <c r="O256" s="79">
        <f t="shared" si="32"/>
        <v>0</v>
      </c>
    </row>
    <row r="257" spans="2:15" s="61" customFormat="1" ht="19" customHeight="1" x14ac:dyDescent="0.2">
      <c r="B257" s="24"/>
      <c r="C257" s="24"/>
      <c r="D257" s="36"/>
      <c r="E257" s="24"/>
      <c r="F257" s="77" t="str">
        <f t="shared" si="25"/>
        <v/>
      </c>
      <c r="G257" s="24"/>
      <c r="I257" s="78">
        <f t="shared" si="26"/>
        <v>0</v>
      </c>
      <c r="J257" s="78">
        <f t="shared" si="27"/>
        <v>0</v>
      </c>
      <c r="K257" s="78">
        <f t="shared" si="28"/>
        <v>0</v>
      </c>
      <c r="L257" s="78">
        <f t="shared" si="29"/>
        <v>0</v>
      </c>
      <c r="M257" s="78">
        <f t="shared" si="30"/>
        <v>0</v>
      </c>
      <c r="N257" s="78">
        <f t="shared" si="31"/>
        <v>0</v>
      </c>
      <c r="O257" s="79">
        <f t="shared" si="32"/>
        <v>0</v>
      </c>
    </row>
    <row r="258" spans="2:15" s="61" customFormat="1" ht="19" customHeight="1" x14ac:dyDescent="0.2">
      <c r="B258" s="24"/>
      <c r="C258" s="24"/>
      <c r="D258" s="36"/>
      <c r="E258" s="24"/>
      <c r="F258" s="77" t="str">
        <f t="shared" si="25"/>
        <v/>
      </c>
      <c r="G258" s="24"/>
      <c r="I258" s="78">
        <f t="shared" si="26"/>
        <v>0</v>
      </c>
      <c r="J258" s="78">
        <f t="shared" si="27"/>
        <v>0</v>
      </c>
      <c r="K258" s="78">
        <f t="shared" si="28"/>
        <v>0</v>
      </c>
      <c r="L258" s="78">
        <f t="shared" si="29"/>
        <v>0</v>
      </c>
      <c r="M258" s="78">
        <f t="shared" si="30"/>
        <v>0</v>
      </c>
      <c r="N258" s="78">
        <f t="shared" si="31"/>
        <v>0</v>
      </c>
      <c r="O258" s="79">
        <f t="shared" si="32"/>
        <v>0</v>
      </c>
    </row>
    <row r="259" spans="2:15" s="61" customFormat="1" ht="19" customHeight="1" x14ac:dyDescent="0.2">
      <c r="B259" s="24"/>
      <c r="C259" s="24"/>
      <c r="D259" s="36"/>
      <c r="E259" s="24"/>
      <c r="F259" s="77" t="str">
        <f t="shared" si="25"/>
        <v/>
      </c>
      <c r="G259" s="24"/>
      <c r="I259" s="78">
        <f t="shared" si="26"/>
        <v>0</v>
      </c>
      <c r="J259" s="78">
        <f t="shared" si="27"/>
        <v>0</v>
      </c>
      <c r="K259" s="78">
        <f t="shared" si="28"/>
        <v>0</v>
      </c>
      <c r="L259" s="78">
        <f t="shared" si="29"/>
        <v>0</v>
      </c>
      <c r="M259" s="78">
        <f t="shared" si="30"/>
        <v>0</v>
      </c>
      <c r="N259" s="78">
        <f t="shared" si="31"/>
        <v>0</v>
      </c>
      <c r="O259" s="79">
        <f t="shared" si="32"/>
        <v>0</v>
      </c>
    </row>
    <row r="260" spans="2:15" s="61" customFormat="1" ht="19" customHeight="1" x14ac:dyDescent="0.2">
      <c r="B260" s="24"/>
      <c r="C260" s="24"/>
      <c r="D260" s="36"/>
      <c r="E260" s="24"/>
      <c r="F260" s="77" t="str">
        <f t="shared" si="25"/>
        <v/>
      </c>
      <c r="G260" s="24"/>
      <c r="I260" s="78">
        <f t="shared" si="26"/>
        <v>0</v>
      </c>
      <c r="J260" s="78">
        <f t="shared" si="27"/>
        <v>0</v>
      </c>
      <c r="K260" s="78">
        <f t="shared" si="28"/>
        <v>0</v>
      </c>
      <c r="L260" s="78">
        <f t="shared" si="29"/>
        <v>0</v>
      </c>
      <c r="M260" s="78">
        <f t="shared" si="30"/>
        <v>0</v>
      </c>
      <c r="N260" s="78">
        <f t="shared" si="31"/>
        <v>0</v>
      </c>
      <c r="O260" s="79">
        <f t="shared" si="32"/>
        <v>0</v>
      </c>
    </row>
    <row r="261" spans="2:15" s="61" customFormat="1" ht="19" customHeight="1" x14ac:dyDescent="0.2">
      <c r="B261" s="24"/>
      <c r="C261" s="24"/>
      <c r="D261" s="36"/>
      <c r="E261" s="24"/>
      <c r="F261" s="77" t="str">
        <f t="shared" si="25"/>
        <v/>
      </c>
      <c r="G261" s="24"/>
      <c r="I261" s="78">
        <f t="shared" si="26"/>
        <v>0</v>
      </c>
      <c r="J261" s="78">
        <f t="shared" si="27"/>
        <v>0</v>
      </c>
      <c r="K261" s="78">
        <f t="shared" si="28"/>
        <v>0</v>
      </c>
      <c r="L261" s="78">
        <f t="shared" si="29"/>
        <v>0</v>
      </c>
      <c r="M261" s="78">
        <f t="shared" si="30"/>
        <v>0</v>
      </c>
      <c r="N261" s="78">
        <f t="shared" si="31"/>
        <v>0</v>
      </c>
      <c r="O261" s="79">
        <f t="shared" si="32"/>
        <v>0</v>
      </c>
    </row>
    <row r="262" spans="2:15" s="61" customFormat="1" ht="19" customHeight="1" x14ac:dyDescent="0.2">
      <c r="B262" s="24"/>
      <c r="C262" s="24"/>
      <c r="D262" s="36"/>
      <c r="E262" s="24"/>
      <c r="F262" s="77" t="str">
        <f t="shared" si="25"/>
        <v/>
      </c>
      <c r="G262" s="24"/>
      <c r="I262" s="78">
        <f t="shared" si="26"/>
        <v>0</v>
      </c>
      <c r="J262" s="78">
        <f t="shared" si="27"/>
        <v>0</v>
      </c>
      <c r="K262" s="78">
        <f t="shared" si="28"/>
        <v>0</v>
      </c>
      <c r="L262" s="78">
        <f t="shared" si="29"/>
        <v>0</v>
      </c>
      <c r="M262" s="78">
        <f t="shared" si="30"/>
        <v>0</v>
      </c>
      <c r="N262" s="78">
        <f t="shared" si="31"/>
        <v>0</v>
      </c>
      <c r="O262" s="79">
        <f t="shared" si="32"/>
        <v>0</v>
      </c>
    </row>
    <row r="263" spans="2:15" s="61" customFormat="1" ht="19" customHeight="1" x14ac:dyDescent="0.2">
      <c r="B263" s="24"/>
      <c r="C263" s="24"/>
      <c r="D263" s="36"/>
      <c r="E263" s="24"/>
      <c r="F263" s="77" t="str">
        <f t="shared" si="25"/>
        <v/>
      </c>
      <c r="G263" s="24"/>
      <c r="I263" s="78">
        <f t="shared" si="26"/>
        <v>0</v>
      </c>
      <c r="J263" s="78">
        <f t="shared" si="27"/>
        <v>0</v>
      </c>
      <c r="K263" s="78">
        <f t="shared" si="28"/>
        <v>0</v>
      </c>
      <c r="L263" s="78">
        <f t="shared" si="29"/>
        <v>0</v>
      </c>
      <c r="M263" s="78">
        <f t="shared" si="30"/>
        <v>0</v>
      </c>
      <c r="N263" s="78">
        <f t="shared" si="31"/>
        <v>0</v>
      </c>
      <c r="O263" s="79">
        <f t="shared" si="32"/>
        <v>0</v>
      </c>
    </row>
    <row r="264" spans="2:15" s="61" customFormat="1" ht="19" customHeight="1" x14ac:dyDescent="0.2">
      <c r="B264" s="24"/>
      <c r="C264" s="24"/>
      <c r="D264" s="36"/>
      <c r="E264" s="24"/>
      <c r="F264" s="77" t="str">
        <f t="shared" si="25"/>
        <v/>
      </c>
      <c r="G264" s="24"/>
      <c r="I264" s="78">
        <f t="shared" si="26"/>
        <v>0</v>
      </c>
      <c r="J264" s="78">
        <f t="shared" si="27"/>
        <v>0</v>
      </c>
      <c r="K264" s="78">
        <f t="shared" si="28"/>
        <v>0</v>
      </c>
      <c r="L264" s="78">
        <f t="shared" si="29"/>
        <v>0</v>
      </c>
      <c r="M264" s="78">
        <f t="shared" si="30"/>
        <v>0</v>
      </c>
      <c r="N264" s="78">
        <f t="shared" si="31"/>
        <v>0</v>
      </c>
      <c r="O264" s="79">
        <f t="shared" si="32"/>
        <v>0</v>
      </c>
    </row>
    <row r="265" spans="2:15" s="61" customFormat="1" ht="19" customHeight="1" x14ac:dyDescent="0.2">
      <c r="B265" s="24"/>
      <c r="C265" s="24"/>
      <c r="D265" s="36"/>
      <c r="E265" s="24"/>
      <c r="F265" s="77" t="str">
        <f t="shared" si="25"/>
        <v/>
      </c>
      <c r="G265" s="24"/>
      <c r="I265" s="78">
        <f t="shared" si="26"/>
        <v>0</v>
      </c>
      <c r="J265" s="78">
        <f t="shared" si="27"/>
        <v>0</v>
      </c>
      <c r="K265" s="78">
        <f t="shared" si="28"/>
        <v>0</v>
      </c>
      <c r="L265" s="78">
        <f t="shared" si="29"/>
        <v>0</v>
      </c>
      <c r="M265" s="78">
        <f t="shared" si="30"/>
        <v>0</v>
      </c>
      <c r="N265" s="78">
        <f t="shared" si="31"/>
        <v>0</v>
      </c>
      <c r="O265" s="79">
        <f t="shared" si="32"/>
        <v>0</v>
      </c>
    </row>
    <row r="266" spans="2:15" s="61" customFormat="1" ht="19" customHeight="1" x14ac:dyDescent="0.2">
      <c r="B266" s="24"/>
      <c r="C266" s="24"/>
      <c r="D266" s="36"/>
      <c r="E266" s="24"/>
      <c r="F266" s="77" t="str">
        <f t="shared" si="25"/>
        <v/>
      </c>
      <c r="G266" s="24"/>
      <c r="I266" s="78">
        <f t="shared" si="26"/>
        <v>0</v>
      </c>
      <c r="J266" s="78">
        <f t="shared" si="27"/>
        <v>0</v>
      </c>
      <c r="K266" s="78">
        <f t="shared" si="28"/>
        <v>0</v>
      </c>
      <c r="L266" s="78">
        <f t="shared" si="29"/>
        <v>0</v>
      </c>
      <c r="M266" s="78">
        <f t="shared" si="30"/>
        <v>0</v>
      </c>
      <c r="N266" s="78">
        <f t="shared" si="31"/>
        <v>0</v>
      </c>
      <c r="O266" s="79">
        <f t="shared" si="32"/>
        <v>0</v>
      </c>
    </row>
    <row r="267" spans="2:15" s="61" customFormat="1" ht="19" customHeight="1" x14ac:dyDescent="0.2">
      <c r="B267" s="24"/>
      <c r="C267" s="24"/>
      <c r="D267" s="36"/>
      <c r="E267" s="24"/>
      <c r="F267" s="77" t="str">
        <f t="shared" ref="F267:F330" si="33">IF(E267="","",IFERROR(VLOOKUP(E267,zone,2,0),""))</f>
        <v/>
      </c>
      <c r="G267" s="24"/>
      <c r="I267" s="78">
        <f t="shared" si="26"/>
        <v>0</v>
      </c>
      <c r="J267" s="78">
        <f t="shared" si="27"/>
        <v>0</v>
      </c>
      <c r="K267" s="78">
        <f t="shared" si="28"/>
        <v>0</v>
      </c>
      <c r="L267" s="78">
        <f t="shared" si="29"/>
        <v>0</v>
      </c>
      <c r="M267" s="78">
        <f t="shared" si="30"/>
        <v>0</v>
      </c>
      <c r="N267" s="78">
        <f t="shared" si="31"/>
        <v>0</v>
      </c>
      <c r="O267" s="79">
        <f t="shared" si="32"/>
        <v>0</v>
      </c>
    </row>
    <row r="268" spans="2:15" s="61" customFormat="1" ht="19" customHeight="1" x14ac:dyDescent="0.2">
      <c r="B268" s="24"/>
      <c r="C268" s="24"/>
      <c r="D268" s="36"/>
      <c r="E268" s="24"/>
      <c r="F268" s="77" t="str">
        <f t="shared" si="33"/>
        <v/>
      </c>
      <c r="G268" s="24"/>
      <c r="I268" s="78">
        <f t="shared" ref="I268:I331" si="34">IF(B268="",0,1)</f>
        <v>0</v>
      </c>
      <c r="J268" s="78">
        <f t="shared" ref="J268:J331" si="35">IF(C268="",0,1)</f>
        <v>0</v>
      </c>
      <c r="K268" s="78">
        <f t="shared" ref="K268:K331" si="36">IF(D268="",0,1)</f>
        <v>0</v>
      </c>
      <c r="L268" s="78">
        <f t="shared" ref="L268:L331" si="37">IF(E268="",0,1)</f>
        <v>0</v>
      </c>
      <c r="M268" s="78">
        <f t="shared" ref="M268:M331" si="38">IF(F268="",0,1)</f>
        <v>0</v>
      </c>
      <c r="N268" s="78">
        <f t="shared" ref="N268:N331" si="39">IF(G268="",0,1)</f>
        <v>0</v>
      </c>
      <c r="O268" s="79">
        <f t="shared" ref="O268:O331" si="40">SUM(I268:N268)</f>
        <v>0</v>
      </c>
    </row>
    <row r="269" spans="2:15" s="61" customFormat="1" ht="19" customHeight="1" x14ac:dyDescent="0.2">
      <c r="B269" s="24"/>
      <c r="C269" s="24"/>
      <c r="D269" s="36"/>
      <c r="E269" s="24"/>
      <c r="F269" s="77" t="str">
        <f t="shared" si="33"/>
        <v/>
      </c>
      <c r="G269" s="24"/>
      <c r="I269" s="78">
        <f t="shared" si="34"/>
        <v>0</v>
      </c>
      <c r="J269" s="78">
        <f t="shared" si="35"/>
        <v>0</v>
      </c>
      <c r="K269" s="78">
        <f t="shared" si="36"/>
        <v>0</v>
      </c>
      <c r="L269" s="78">
        <f t="shared" si="37"/>
        <v>0</v>
      </c>
      <c r="M269" s="78">
        <f t="shared" si="38"/>
        <v>0</v>
      </c>
      <c r="N269" s="78">
        <f t="shared" si="39"/>
        <v>0</v>
      </c>
      <c r="O269" s="79">
        <f t="shared" si="40"/>
        <v>0</v>
      </c>
    </row>
    <row r="270" spans="2:15" s="61" customFormat="1" ht="19" customHeight="1" x14ac:dyDescent="0.2">
      <c r="B270" s="24"/>
      <c r="C270" s="24"/>
      <c r="D270" s="36"/>
      <c r="E270" s="24"/>
      <c r="F270" s="77" t="str">
        <f t="shared" si="33"/>
        <v/>
      </c>
      <c r="G270" s="24"/>
      <c r="I270" s="78">
        <f t="shared" si="34"/>
        <v>0</v>
      </c>
      <c r="J270" s="78">
        <f t="shared" si="35"/>
        <v>0</v>
      </c>
      <c r="K270" s="78">
        <f t="shared" si="36"/>
        <v>0</v>
      </c>
      <c r="L270" s="78">
        <f t="shared" si="37"/>
        <v>0</v>
      </c>
      <c r="M270" s="78">
        <f t="shared" si="38"/>
        <v>0</v>
      </c>
      <c r="N270" s="78">
        <f t="shared" si="39"/>
        <v>0</v>
      </c>
      <c r="O270" s="79">
        <f t="shared" si="40"/>
        <v>0</v>
      </c>
    </row>
    <row r="271" spans="2:15" s="61" customFormat="1" ht="19" customHeight="1" x14ac:dyDescent="0.2">
      <c r="B271" s="24"/>
      <c r="C271" s="24"/>
      <c r="D271" s="36"/>
      <c r="E271" s="24"/>
      <c r="F271" s="77" t="str">
        <f t="shared" si="33"/>
        <v/>
      </c>
      <c r="G271" s="24"/>
      <c r="I271" s="78">
        <f t="shared" si="34"/>
        <v>0</v>
      </c>
      <c r="J271" s="78">
        <f t="shared" si="35"/>
        <v>0</v>
      </c>
      <c r="K271" s="78">
        <f t="shared" si="36"/>
        <v>0</v>
      </c>
      <c r="L271" s="78">
        <f t="shared" si="37"/>
        <v>0</v>
      </c>
      <c r="M271" s="78">
        <f t="shared" si="38"/>
        <v>0</v>
      </c>
      <c r="N271" s="78">
        <f t="shared" si="39"/>
        <v>0</v>
      </c>
      <c r="O271" s="79">
        <f t="shared" si="40"/>
        <v>0</v>
      </c>
    </row>
    <row r="272" spans="2:15" s="61" customFormat="1" ht="19" customHeight="1" x14ac:dyDescent="0.2">
      <c r="B272" s="24"/>
      <c r="C272" s="24"/>
      <c r="D272" s="36"/>
      <c r="E272" s="24"/>
      <c r="F272" s="77" t="str">
        <f t="shared" si="33"/>
        <v/>
      </c>
      <c r="G272" s="24"/>
      <c r="I272" s="78">
        <f t="shared" si="34"/>
        <v>0</v>
      </c>
      <c r="J272" s="78">
        <f t="shared" si="35"/>
        <v>0</v>
      </c>
      <c r="K272" s="78">
        <f t="shared" si="36"/>
        <v>0</v>
      </c>
      <c r="L272" s="78">
        <f t="shared" si="37"/>
        <v>0</v>
      </c>
      <c r="M272" s="78">
        <f t="shared" si="38"/>
        <v>0</v>
      </c>
      <c r="N272" s="78">
        <f t="shared" si="39"/>
        <v>0</v>
      </c>
      <c r="O272" s="79">
        <f t="shared" si="40"/>
        <v>0</v>
      </c>
    </row>
    <row r="273" spans="2:15" s="61" customFormat="1" ht="19" customHeight="1" x14ac:dyDescent="0.2">
      <c r="B273" s="24"/>
      <c r="C273" s="24"/>
      <c r="D273" s="36"/>
      <c r="E273" s="24"/>
      <c r="F273" s="77" t="str">
        <f t="shared" si="33"/>
        <v/>
      </c>
      <c r="G273" s="24"/>
      <c r="I273" s="78">
        <f t="shared" si="34"/>
        <v>0</v>
      </c>
      <c r="J273" s="78">
        <f t="shared" si="35"/>
        <v>0</v>
      </c>
      <c r="K273" s="78">
        <f t="shared" si="36"/>
        <v>0</v>
      </c>
      <c r="L273" s="78">
        <f t="shared" si="37"/>
        <v>0</v>
      </c>
      <c r="M273" s="78">
        <f t="shared" si="38"/>
        <v>0</v>
      </c>
      <c r="N273" s="78">
        <f t="shared" si="39"/>
        <v>0</v>
      </c>
      <c r="O273" s="79">
        <f t="shared" si="40"/>
        <v>0</v>
      </c>
    </row>
    <row r="274" spans="2:15" s="61" customFormat="1" ht="19" customHeight="1" x14ac:dyDescent="0.2">
      <c r="B274" s="24"/>
      <c r="C274" s="24"/>
      <c r="D274" s="36"/>
      <c r="E274" s="24"/>
      <c r="F274" s="77" t="str">
        <f t="shared" si="33"/>
        <v/>
      </c>
      <c r="G274" s="24"/>
      <c r="I274" s="78">
        <f t="shared" si="34"/>
        <v>0</v>
      </c>
      <c r="J274" s="78">
        <f t="shared" si="35"/>
        <v>0</v>
      </c>
      <c r="K274" s="78">
        <f t="shared" si="36"/>
        <v>0</v>
      </c>
      <c r="L274" s="78">
        <f t="shared" si="37"/>
        <v>0</v>
      </c>
      <c r="M274" s="78">
        <f t="shared" si="38"/>
        <v>0</v>
      </c>
      <c r="N274" s="78">
        <f t="shared" si="39"/>
        <v>0</v>
      </c>
      <c r="O274" s="79">
        <f t="shared" si="40"/>
        <v>0</v>
      </c>
    </row>
    <row r="275" spans="2:15" s="61" customFormat="1" ht="19" customHeight="1" x14ac:dyDescent="0.2">
      <c r="B275" s="24"/>
      <c r="C275" s="24"/>
      <c r="D275" s="36"/>
      <c r="E275" s="24"/>
      <c r="F275" s="77" t="str">
        <f t="shared" si="33"/>
        <v/>
      </c>
      <c r="G275" s="24"/>
      <c r="I275" s="78">
        <f t="shared" si="34"/>
        <v>0</v>
      </c>
      <c r="J275" s="78">
        <f t="shared" si="35"/>
        <v>0</v>
      </c>
      <c r="K275" s="78">
        <f t="shared" si="36"/>
        <v>0</v>
      </c>
      <c r="L275" s="78">
        <f t="shared" si="37"/>
        <v>0</v>
      </c>
      <c r="M275" s="78">
        <f t="shared" si="38"/>
        <v>0</v>
      </c>
      <c r="N275" s="78">
        <f t="shared" si="39"/>
        <v>0</v>
      </c>
      <c r="O275" s="79">
        <f t="shared" si="40"/>
        <v>0</v>
      </c>
    </row>
    <row r="276" spans="2:15" s="61" customFormat="1" ht="19" customHeight="1" x14ac:dyDescent="0.2">
      <c r="B276" s="24"/>
      <c r="C276" s="24"/>
      <c r="D276" s="36"/>
      <c r="E276" s="24"/>
      <c r="F276" s="77" t="str">
        <f t="shared" si="33"/>
        <v/>
      </c>
      <c r="G276" s="24"/>
      <c r="I276" s="78">
        <f t="shared" si="34"/>
        <v>0</v>
      </c>
      <c r="J276" s="78">
        <f t="shared" si="35"/>
        <v>0</v>
      </c>
      <c r="K276" s="78">
        <f t="shared" si="36"/>
        <v>0</v>
      </c>
      <c r="L276" s="78">
        <f t="shared" si="37"/>
        <v>0</v>
      </c>
      <c r="M276" s="78">
        <f t="shared" si="38"/>
        <v>0</v>
      </c>
      <c r="N276" s="78">
        <f t="shared" si="39"/>
        <v>0</v>
      </c>
      <c r="O276" s="79">
        <f t="shared" si="40"/>
        <v>0</v>
      </c>
    </row>
    <row r="277" spans="2:15" s="61" customFormat="1" ht="19" customHeight="1" x14ac:dyDescent="0.2">
      <c r="B277" s="24"/>
      <c r="C277" s="24"/>
      <c r="D277" s="36"/>
      <c r="E277" s="24"/>
      <c r="F277" s="77" t="str">
        <f t="shared" si="33"/>
        <v/>
      </c>
      <c r="G277" s="24"/>
      <c r="I277" s="78">
        <f t="shared" si="34"/>
        <v>0</v>
      </c>
      <c r="J277" s="78">
        <f t="shared" si="35"/>
        <v>0</v>
      </c>
      <c r="K277" s="78">
        <f t="shared" si="36"/>
        <v>0</v>
      </c>
      <c r="L277" s="78">
        <f t="shared" si="37"/>
        <v>0</v>
      </c>
      <c r="M277" s="78">
        <f t="shared" si="38"/>
        <v>0</v>
      </c>
      <c r="N277" s="78">
        <f t="shared" si="39"/>
        <v>0</v>
      </c>
      <c r="O277" s="79">
        <f t="shared" si="40"/>
        <v>0</v>
      </c>
    </row>
    <row r="278" spans="2:15" s="61" customFormat="1" ht="19" customHeight="1" x14ac:dyDescent="0.2">
      <c r="B278" s="24"/>
      <c r="C278" s="24"/>
      <c r="D278" s="36"/>
      <c r="E278" s="24"/>
      <c r="F278" s="77" t="str">
        <f t="shared" si="33"/>
        <v/>
      </c>
      <c r="G278" s="24"/>
      <c r="I278" s="78">
        <f t="shared" si="34"/>
        <v>0</v>
      </c>
      <c r="J278" s="78">
        <f t="shared" si="35"/>
        <v>0</v>
      </c>
      <c r="K278" s="78">
        <f t="shared" si="36"/>
        <v>0</v>
      </c>
      <c r="L278" s="78">
        <f t="shared" si="37"/>
        <v>0</v>
      </c>
      <c r="M278" s="78">
        <f t="shared" si="38"/>
        <v>0</v>
      </c>
      <c r="N278" s="78">
        <f t="shared" si="39"/>
        <v>0</v>
      </c>
      <c r="O278" s="79">
        <f t="shared" si="40"/>
        <v>0</v>
      </c>
    </row>
    <row r="279" spans="2:15" s="61" customFormat="1" ht="19" customHeight="1" x14ac:dyDescent="0.2">
      <c r="B279" s="24"/>
      <c r="C279" s="24"/>
      <c r="D279" s="36"/>
      <c r="E279" s="24"/>
      <c r="F279" s="77" t="str">
        <f t="shared" si="33"/>
        <v/>
      </c>
      <c r="G279" s="24"/>
      <c r="I279" s="78">
        <f t="shared" si="34"/>
        <v>0</v>
      </c>
      <c r="J279" s="78">
        <f t="shared" si="35"/>
        <v>0</v>
      </c>
      <c r="K279" s="78">
        <f t="shared" si="36"/>
        <v>0</v>
      </c>
      <c r="L279" s="78">
        <f t="shared" si="37"/>
        <v>0</v>
      </c>
      <c r="M279" s="78">
        <f t="shared" si="38"/>
        <v>0</v>
      </c>
      <c r="N279" s="78">
        <f t="shared" si="39"/>
        <v>0</v>
      </c>
      <c r="O279" s="79">
        <f t="shared" si="40"/>
        <v>0</v>
      </c>
    </row>
    <row r="280" spans="2:15" s="61" customFormat="1" ht="19" customHeight="1" x14ac:dyDescent="0.2">
      <c r="B280" s="24"/>
      <c r="C280" s="24"/>
      <c r="D280" s="36"/>
      <c r="E280" s="24"/>
      <c r="F280" s="77" t="str">
        <f t="shared" si="33"/>
        <v/>
      </c>
      <c r="G280" s="24"/>
      <c r="I280" s="78">
        <f t="shared" si="34"/>
        <v>0</v>
      </c>
      <c r="J280" s="78">
        <f t="shared" si="35"/>
        <v>0</v>
      </c>
      <c r="K280" s="78">
        <f t="shared" si="36"/>
        <v>0</v>
      </c>
      <c r="L280" s="78">
        <f t="shared" si="37"/>
        <v>0</v>
      </c>
      <c r="M280" s="78">
        <f t="shared" si="38"/>
        <v>0</v>
      </c>
      <c r="N280" s="78">
        <f t="shared" si="39"/>
        <v>0</v>
      </c>
      <c r="O280" s="79">
        <f t="shared" si="40"/>
        <v>0</v>
      </c>
    </row>
    <row r="281" spans="2:15" s="61" customFormat="1" ht="19" customHeight="1" x14ac:dyDescent="0.2">
      <c r="B281" s="24"/>
      <c r="C281" s="24"/>
      <c r="D281" s="36"/>
      <c r="E281" s="24"/>
      <c r="F281" s="77" t="str">
        <f t="shared" si="33"/>
        <v/>
      </c>
      <c r="G281" s="24"/>
      <c r="I281" s="78">
        <f t="shared" si="34"/>
        <v>0</v>
      </c>
      <c r="J281" s="78">
        <f t="shared" si="35"/>
        <v>0</v>
      </c>
      <c r="K281" s="78">
        <f t="shared" si="36"/>
        <v>0</v>
      </c>
      <c r="L281" s="78">
        <f t="shared" si="37"/>
        <v>0</v>
      </c>
      <c r="M281" s="78">
        <f t="shared" si="38"/>
        <v>0</v>
      </c>
      <c r="N281" s="78">
        <f t="shared" si="39"/>
        <v>0</v>
      </c>
      <c r="O281" s="79">
        <f t="shared" si="40"/>
        <v>0</v>
      </c>
    </row>
    <row r="282" spans="2:15" s="61" customFormat="1" ht="19" customHeight="1" x14ac:dyDescent="0.2">
      <c r="B282" s="24"/>
      <c r="C282" s="24"/>
      <c r="D282" s="36"/>
      <c r="E282" s="24"/>
      <c r="F282" s="77" t="str">
        <f t="shared" si="33"/>
        <v/>
      </c>
      <c r="G282" s="24"/>
      <c r="I282" s="78">
        <f t="shared" si="34"/>
        <v>0</v>
      </c>
      <c r="J282" s="78">
        <f t="shared" si="35"/>
        <v>0</v>
      </c>
      <c r="K282" s="78">
        <f t="shared" si="36"/>
        <v>0</v>
      </c>
      <c r="L282" s="78">
        <f t="shared" si="37"/>
        <v>0</v>
      </c>
      <c r="M282" s="78">
        <f t="shared" si="38"/>
        <v>0</v>
      </c>
      <c r="N282" s="78">
        <f t="shared" si="39"/>
        <v>0</v>
      </c>
      <c r="O282" s="79">
        <f t="shared" si="40"/>
        <v>0</v>
      </c>
    </row>
    <row r="283" spans="2:15" s="61" customFormat="1" ht="19" customHeight="1" x14ac:dyDescent="0.2">
      <c r="B283" s="24"/>
      <c r="C283" s="24"/>
      <c r="D283" s="36"/>
      <c r="E283" s="24"/>
      <c r="F283" s="77" t="str">
        <f t="shared" si="33"/>
        <v/>
      </c>
      <c r="G283" s="24"/>
      <c r="I283" s="78">
        <f t="shared" si="34"/>
        <v>0</v>
      </c>
      <c r="J283" s="78">
        <f t="shared" si="35"/>
        <v>0</v>
      </c>
      <c r="K283" s="78">
        <f t="shared" si="36"/>
        <v>0</v>
      </c>
      <c r="L283" s="78">
        <f t="shared" si="37"/>
        <v>0</v>
      </c>
      <c r="M283" s="78">
        <f t="shared" si="38"/>
        <v>0</v>
      </c>
      <c r="N283" s="78">
        <f t="shared" si="39"/>
        <v>0</v>
      </c>
      <c r="O283" s="79">
        <f t="shared" si="40"/>
        <v>0</v>
      </c>
    </row>
    <row r="284" spans="2:15" s="61" customFormat="1" ht="19" customHeight="1" x14ac:dyDescent="0.2">
      <c r="B284" s="24"/>
      <c r="C284" s="24"/>
      <c r="D284" s="36"/>
      <c r="E284" s="24"/>
      <c r="F284" s="77" t="str">
        <f t="shared" si="33"/>
        <v/>
      </c>
      <c r="G284" s="24"/>
      <c r="I284" s="78">
        <f t="shared" si="34"/>
        <v>0</v>
      </c>
      <c r="J284" s="78">
        <f t="shared" si="35"/>
        <v>0</v>
      </c>
      <c r="K284" s="78">
        <f t="shared" si="36"/>
        <v>0</v>
      </c>
      <c r="L284" s="78">
        <f t="shared" si="37"/>
        <v>0</v>
      </c>
      <c r="M284" s="78">
        <f t="shared" si="38"/>
        <v>0</v>
      </c>
      <c r="N284" s="78">
        <f t="shared" si="39"/>
        <v>0</v>
      </c>
      <c r="O284" s="79">
        <f t="shared" si="40"/>
        <v>0</v>
      </c>
    </row>
    <row r="285" spans="2:15" s="61" customFormat="1" ht="19" customHeight="1" x14ac:dyDescent="0.2">
      <c r="B285" s="24"/>
      <c r="C285" s="24"/>
      <c r="D285" s="36"/>
      <c r="E285" s="24"/>
      <c r="F285" s="77" t="str">
        <f t="shared" si="33"/>
        <v/>
      </c>
      <c r="G285" s="24"/>
      <c r="I285" s="78">
        <f t="shared" si="34"/>
        <v>0</v>
      </c>
      <c r="J285" s="78">
        <f t="shared" si="35"/>
        <v>0</v>
      </c>
      <c r="K285" s="78">
        <f t="shared" si="36"/>
        <v>0</v>
      </c>
      <c r="L285" s="78">
        <f t="shared" si="37"/>
        <v>0</v>
      </c>
      <c r="M285" s="78">
        <f t="shared" si="38"/>
        <v>0</v>
      </c>
      <c r="N285" s="78">
        <f t="shared" si="39"/>
        <v>0</v>
      </c>
      <c r="O285" s="79">
        <f t="shared" si="40"/>
        <v>0</v>
      </c>
    </row>
    <row r="286" spans="2:15" s="61" customFormat="1" ht="19" customHeight="1" x14ac:dyDescent="0.2">
      <c r="B286" s="24"/>
      <c r="C286" s="24"/>
      <c r="D286" s="36"/>
      <c r="E286" s="24"/>
      <c r="F286" s="77" t="str">
        <f t="shared" si="33"/>
        <v/>
      </c>
      <c r="G286" s="24"/>
      <c r="I286" s="78">
        <f t="shared" si="34"/>
        <v>0</v>
      </c>
      <c r="J286" s="78">
        <f t="shared" si="35"/>
        <v>0</v>
      </c>
      <c r="K286" s="78">
        <f t="shared" si="36"/>
        <v>0</v>
      </c>
      <c r="L286" s="78">
        <f t="shared" si="37"/>
        <v>0</v>
      </c>
      <c r="M286" s="78">
        <f t="shared" si="38"/>
        <v>0</v>
      </c>
      <c r="N286" s="78">
        <f t="shared" si="39"/>
        <v>0</v>
      </c>
      <c r="O286" s="79">
        <f t="shared" si="40"/>
        <v>0</v>
      </c>
    </row>
    <row r="287" spans="2:15" s="61" customFormat="1" ht="19" customHeight="1" x14ac:dyDescent="0.2">
      <c r="B287" s="24"/>
      <c r="C287" s="24"/>
      <c r="D287" s="36"/>
      <c r="E287" s="24"/>
      <c r="F287" s="77" t="str">
        <f t="shared" si="33"/>
        <v/>
      </c>
      <c r="G287" s="24"/>
      <c r="I287" s="78">
        <f t="shared" si="34"/>
        <v>0</v>
      </c>
      <c r="J287" s="78">
        <f t="shared" si="35"/>
        <v>0</v>
      </c>
      <c r="K287" s="78">
        <f t="shared" si="36"/>
        <v>0</v>
      </c>
      <c r="L287" s="78">
        <f t="shared" si="37"/>
        <v>0</v>
      </c>
      <c r="M287" s="78">
        <f t="shared" si="38"/>
        <v>0</v>
      </c>
      <c r="N287" s="78">
        <f t="shared" si="39"/>
        <v>0</v>
      </c>
      <c r="O287" s="79">
        <f t="shared" si="40"/>
        <v>0</v>
      </c>
    </row>
    <row r="288" spans="2:15" s="61" customFormat="1" ht="19" customHeight="1" x14ac:dyDescent="0.2">
      <c r="B288" s="24"/>
      <c r="C288" s="24"/>
      <c r="D288" s="36"/>
      <c r="E288" s="24"/>
      <c r="F288" s="77" t="str">
        <f t="shared" si="33"/>
        <v/>
      </c>
      <c r="G288" s="24"/>
      <c r="I288" s="78">
        <f t="shared" si="34"/>
        <v>0</v>
      </c>
      <c r="J288" s="78">
        <f t="shared" si="35"/>
        <v>0</v>
      </c>
      <c r="K288" s="78">
        <f t="shared" si="36"/>
        <v>0</v>
      </c>
      <c r="L288" s="78">
        <f t="shared" si="37"/>
        <v>0</v>
      </c>
      <c r="M288" s="78">
        <f t="shared" si="38"/>
        <v>0</v>
      </c>
      <c r="N288" s="78">
        <f t="shared" si="39"/>
        <v>0</v>
      </c>
      <c r="O288" s="79">
        <f t="shared" si="40"/>
        <v>0</v>
      </c>
    </row>
    <row r="289" spans="2:15" s="61" customFormat="1" ht="19" customHeight="1" x14ac:dyDescent="0.2">
      <c r="B289" s="24"/>
      <c r="C289" s="24"/>
      <c r="D289" s="36"/>
      <c r="E289" s="24"/>
      <c r="F289" s="77" t="str">
        <f t="shared" si="33"/>
        <v/>
      </c>
      <c r="G289" s="24"/>
      <c r="I289" s="78">
        <f t="shared" si="34"/>
        <v>0</v>
      </c>
      <c r="J289" s="78">
        <f t="shared" si="35"/>
        <v>0</v>
      </c>
      <c r="K289" s="78">
        <f t="shared" si="36"/>
        <v>0</v>
      </c>
      <c r="L289" s="78">
        <f t="shared" si="37"/>
        <v>0</v>
      </c>
      <c r="M289" s="78">
        <f t="shared" si="38"/>
        <v>0</v>
      </c>
      <c r="N289" s="78">
        <f t="shared" si="39"/>
        <v>0</v>
      </c>
      <c r="O289" s="79">
        <f t="shared" si="40"/>
        <v>0</v>
      </c>
    </row>
    <row r="290" spans="2:15" s="61" customFormat="1" ht="19" customHeight="1" x14ac:dyDescent="0.2">
      <c r="B290" s="24"/>
      <c r="C290" s="24"/>
      <c r="D290" s="36"/>
      <c r="E290" s="24"/>
      <c r="F290" s="77" t="str">
        <f t="shared" si="33"/>
        <v/>
      </c>
      <c r="G290" s="24"/>
      <c r="I290" s="78">
        <f t="shared" si="34"/>
        <v>0</v>
      </c>
      <c r="J290" s="78">
        <f t="shared" si="35"/>
        <v>0</v>
      </c>
      <c r="K290" s="78">
        <f t="shared" si="36"/>
        <v>0</v>
      </c>
      <c r="L290" s="78">
        <f t="shared" si="37"/>
        <v>0</v>
      </c>
      <c r="M290" s="78">
        <f t="shared" si="38"/>
        <v>0</v>
      </c>
      <c r="N290" s="78">
        <f t="shared" si="39"/>
        <v>0</v>
      </c>
      <c r="O290" s="79">
        <f t="shared" si="40"/>
        <v>0</v>
      </c>
    </row>
    <row r="291" spans="2:15" s="61" customFormat="1" ht="19" customHeight="1" x14ac:dyDescent="0.2">
      <c r="B291" s="24"/>
      <c r="C291" s="24"/>
      <c r="D291" s="36"/>
      <c r="E291" s="24"/>
      <c r="F291" s="77" t="str">
        <f t="shared" si="33"/>
        <v/>
      </c>
      <c r="G291" s="24"/>
      <c r="I291" s="78">
        <f t="shared" si="34"/>
        <v>0</v>
      </c>
      <c r="J291" s="78">
        <f t="shared" si="35"/>
        <v>0</v>
      </c>
      <c r="K291" s="78">
        <f t="shared" si="36"/>
        <v>0</v>
      </c>
      <c r="L291" s="78">
        <f t="shared" si="37"/>
        <v>0</v>
      </c>
      <c r="M291" s="78">
        <f t="shared" si="38"/>
        <v>0</v>
      </c>
      <c r="N291" s="78">
        <f t="shared" si="39"/>
        <v>0</v>
      </c>
      <c r="O291" s="79">
        <f t="shared" si="40"/>
        <v>0</v>
      </c>
    </row>
    <row r="292" spans="2:15" s="61" customFormat="1" ht="19" customHeight="1" x14ac:dyDescent="0.2">
      <c r="B292" s="24"/>
      <c r="C292" s="24"/>
      <c r="D292" s="36"/>
      <c r="E292" s="24"/>
      <c r="F292" s="77" t="str">
        <f t="shared" si="33"/>
        <v/>
      </c>
      <c r="G292" s="24"/>
      <c r="I292" s="78">
        <f t="shared" si="34"/>
        <v>0</v>
      </c>
      <c r="J292" s="78">
        <f t="shared" si="35"/>
        <v>0</v>
      </c>
      <c r="K292" s="78">
        <f t="shared" si="36"/>
        <v>0</v>
      </c>
      <c r="L292" s="78">
        <f t="shared" si="37"/>
        <v>0</v>
      </c>
      <c r="M292" s="78">
        <f t="shared" si="38"/>
        <v>0</v>
      </c>
      <c r="N292" s="78">
        <f t="shared" si="39"/>
        <v>0</v>
      </c>
      <c r="O292" s="79">
        <f t="shared" si="40"/>
        <v>0</v>
      </c>
    </row>
    <row r="293" spans="2:15" s="61" customFormat="1" ht="19" customHeight="1" x14ac:dyDescent="0.2">
      <c r="B293" s="24"/>
      <c r="C293" s="24"/>
      <c r="D293" s="36"/>
      <c r="E293" s="24"/>
      <c r="F293" s="77" t="str">
        <f t="shared" si="33"/>
        <v/>
      </c>
      <c r="G293" s="24"/>
      <c r="I293" s="78">
        <f t="shared" si="34"/>
        <v>0</v>
      </c>
      <c r="J293" s="78">
        <f t="shared" si="35"/>
        <v>0</v>
      </c>
      <c r="K293" s="78">
        <f t="shared" si="36"/>
        <v>0</v>
      </c>
      <c r="L293" s="78">
        <f t="shared" si="37"/>
        <v>0</v>
      </c>
      <c r="M293" s="78">
        <f t="shared" si="38"/>
        <v>0</v>
      </c>
      <c r="N293" s="78">
        <f t="shared" si="39"/>
        <v>0</v>
      </c>
      <c r="O293" s="79">
        <f t="shared" si="40"/>
        <v>0</v>
      </c>
    </row>
    <row r="294" spans="2:15" s="61" customFormat="1" ht="19" customHeight="1" x14ac:dyDescent="0.2">
      <c r="B294" s="24"/>
      <c r="C294" s="24"/>
      <c r="D294" s="36"/>
      <c r="E294" s="24"/>
      <c r="F294" s="77" t="str">
        <f t="shared" si="33"/>
        <v/>
      </c>
      <c r="G294" s="24"/>
      <c r="I294" s="78">
        <f t="shared" si="34"/>
        <v>0</v>
      </c>
      <c r="J294" s="78">
        <f t="shared" si="35"/>
        <v>0</v>
      </c>
      <c r="K294" s="78">
        <f t="shared" si="36"/>
        <v>0</v>
      </c>
      <c r="L294" s="78">
        <f t="shared" si="37"/>
        <v>0</v>
      </c>
      <c r="M294" s="78">
        <f t="shared" si="38"/>
        <v>0</v>
      </c>
      <c r="N294" s="78">
        <f t="shared" si="39"/>
        <v>0</v>
      </c>
      <c r="O294" s="79">
        <f t="shared" si="40"/>
        <v>0</v>
      </c>
    </row>
    <row r="295" spans="2:15" s="61" customFormat="1" ht="19" customHeight="1" x14ac:dyDescent="0.2">
      <c r="B295" s="24"/>
      <c r="C295" s="24"/>
      <c r="D295" s="36"/>
      <c r="E295" s="24"/>
      <c r="F295" s="77" t="str">
        <f t="shared" si="33"/>
        <v/>
      </c>
      <c r="G295" s="24"/>
      <c r="I295" s="78">
        <f t="shared" si="34"/>
        <v>0</v>
      </c>
      <c r="J295" s="78">
        <f t="shared" si="35"/>
        <v>0</v>
      </c>
      <c r="K295" s="78">
        <f t="shared" si="36"/>
        <v>0</v>
      </c>
      <c r="L295" s="78">
        <f t="shared" si="37"/>
        <v>0</v>
      </c>
      <c r="M295" s="78">
        <f t="shared" si="38"/>
        <v>0</v>
      </c>
      <c r="N295" s="78">
        <f t="shared" si="39"/>
        <v>0</v>
      </c>
      <c r="O295" s="79">
        <f t="shared" si="40"/>
        <v>0</v>
      </c>
    </row>
    <row r="296" spans="2:15" s="61" customFormat="1" ht="19" customHeight="1" x14ac:dyDescent="0.2">
      <c r="B296" s="24"/>
      <c r="C296" s="24"/>
      <c r="D296" s="36"/>
      <c r="E296" s="24"/>
      <c r="F296" s="77" t="str">
        <f t="shared" si="33"/>
        <v/>
      </c>
      <c r="G296" s="24"/>
      <c r="I296" s="78">
        <f t="shared" si="34"/>
        <v>0</v>
      </c>
      <c r="J296" s="78">
        <f t="shared" si="35"/>
        <v>0</v>
      </c>
      <c r="K296" s="78">
        <f t="shared" si="36"/>
        <v>0</v>
      </c>
      <c r="L296" s="78">
        <f t="shared" si="37"/>
        <v>0</v>
      </c>
      <c r="M296" s="78">
        <f t="shared" si="38"/>
        <v>0</v>
      </c>
      <c r="N296" s="78">
        <f t="shared" si="39"/>
        <v>0</v>
      </c>
      <c r="O296" s="79">
        <f t="shared" si="40"/>
        <v>0</v>
      </c>
    </row>
    <row r="297" spans="2:15" s="61" customFormat="1" ht="19" customHeight="1" x14ac:dyDescent="0.2">
      <c r="B297" s="24"/>
      <c r="C297" s="24"/>
      <c r="D297" s="36"/>
      <c r="E297" s="24"/>
      <c r="F297" s="77" t="str">
        <f t="shared" si="33"/>
        <v/>
      </c>
      <c r="G297" s="24"/>
      <c r="I297" s="78">
        <f t="shared" si="34"/>
        <v>0</v>
      </c>
      <c r="J297" s="78">
        <f t="shared" si="35"/>
        <v>0</v>
      </c>
      <c r="K297" s="78">
        <f t="shared" si="36"/>
        <v>0</v>
      </c>
      <c r="L297" s="78">
        <f t="shared" si="37"/>
        <v>0</v>
      </c>
      <c r="M297" s="78">
        <f t="shared" si="38"/>
        <v>0</v>
      </c>
      <c r="N297" s="78">
        <f t="shared" si="39"/>
        <v>0</v>
      </c>
      <c r="O297" s="79">
        <f t="shared" si="40"/>
        <v>0</v>
      </c>
    </row>
    <row r="298" spans="2:15" s="61" customFormat="1" ht="19" customHeight="1" x14ac:dyDescent="0.2">
      <c r="B298" s="24"/>
      <c r="C298" s="24"/>
      <c r="D298" s="36"/>
      <c r="E298" s="24"/>
      <c r="F298" s="77" t="str">
        <f t="shared" si="33"/>
        <v/>
      </c>
      <c r="G298" s="24"/>
      <c r="I298" s="78">
        <f t="shared" si="34"/>
        <v>0</v>
      </c>
      <c r="J298" s="78">
        <f t="shared" si="35"/>
        <v>0</v>
      </c>
      <c r="K298" s="78">
        <f t="shared" si="36"/>
        <v>0</v>
      </c>
      <c r="L298" s="78">
        <f t="shared" si="37"/>
        <v>0</v>
      </c>
      <c r="M298" s="78">
        <f t="shared" si="38"/>
        <v>0</v>
      </c>
      <c r="N298" s="78">
        <f t="shared" si="39"/>
        <v>0</v>
      </c>
      <c r="O298" s="79">
        <f t="shared" si="40"/>
        <v>0</v>
      </c>
    </row>
    <row r="299" spans="2:15" s="61" customFormat="1" ht="19" customHeight="1" x14ac:dyDescent="0.2">
      <c r="B299" s="24"/>
      <c r="C299" s="24"/>
      <c r="D299" s="36"/>
      <c r="E299" s="24"/>
      <c r="F299" s="77" t="str">
        <f t="shared" si="33"/>
        <v/>
      </c>
      <c r="G299" s="24"/>
      <c r="I299" s="78">
        <f t="shared" si="34"/>
        <v>0</v>
      </c>
      <c r="J299" s="78">
        <f t="shared" si="35"/>
        <v>0</v>
      </c>
      <c r="K299" s="78">
        <f t="shared" si="36"/>
        <v>0</v>
      </c>
      <c r="L299" s="78">
        <f t="shared" si="37"/>
        <v>0</v>
      </c>
      <c r="M299" s="78">
        <f t="shared" si="38"/>
        <v>0</v>
      </c>
      <c r="N299" s="78">
        <f t="shared" si="39"/>
        <v>0</v>
      </c>
      <c r="O299" s="79">
        <f t="shared" si="40"/>
        <v>0</v>
      </c>
    </row>
    <row r="300" spans="2:15" s="61" customFormat="1" ht="19" customHeight="1" x14ac:dyDescent="0.2">
      <c r="B300" s="24"/>
      <c r="C300" s="24"/>
      <c r="D300" s="36"/>
      <c r="E300" s="24"/>
      <c r="F300" s="77" t="str">
        <f t="shared" si="33"/>
        <v/>
      </c>
      <c r="G300" s="24"/>
      <c r="I300" s="78">
        <f t="shared" si="34"/>
        <v>0</v>
      </c>
      <c r="J300" s="78">
        <f t="shared" si="35"/>
        <v>0</v>
      </c>
      <c r="K300" s="78">
        <f t="shared" si="36"/>
        <v>0</v>
      </c>
      <c r="L300" s="78">
        <f t="shared" si="37"/>
        <v>0</v>
      </c>
      <c r="M300" s="78">
        <f t="shared" si="38"/>
        <v>0</v>
      </c>
      <c r="N300" s="78">
        <f t="shared" si="39"/>
        <v>0</v>
      </c>
      <c r="O300" s="79">
        <f t="shared" si="40"/>
        <v>0</v>
      </c>
    </row>
    <row r="301" spans="2:15" s="61" customFormat="1" ht="19" customHeight="1" x14ac:dyDescent="0.2">
      <c r="B301" s="24"/>
      <c r="C301" s="24"/>
      <c r="D301" s="36"/>
      <c r="E301" s="24"/>
      <c r="F301" s="77" t="str">
        <f t="shared" si="33"/>
        <v/>
      </c>
      <c r="G301" s="24"/>
      <c r="I301" s="78">
        <f t="shared" si="34"/>
        <v>0</v>
      </c>
      <c r="J301" s="78">
        <f t="shared" si="35"/>
        <v>0</v>
      </c>
      <c r="K301" s="78">
        <f t="shared" si="36"/>
        <v>0</v>
      </c>
      <c r="L301" s="78">
        <f t="shared" si="37"/>
        <v>0</v>
      </c>
      <c r="M301" s="78">
        <f t="shared" si="38"/>
        <v>0</v>
      </c>
      <c r="N301" s="78">
        <f t="shared" si="39"/>
        <v>0</v>
      </c>
      <c r="O301" s="79">
        <f t="shared" si="40"/>
        <v>0</v>
      </c>
    </row>
    <row r="302" spans="2:15" s="61" customFormat="1" ht="19" customHeight="1" x14ac:dyDescent="0.2">
      <c r="B302" s="24"/>
      <c r="C302" s="24"/>
      <c r="D302" s="36"/>
      <c r="E302" s="24"/>
      <c r="F302" s="77" t="str">
        <f t="shared" si="33"/>
        <v/>
      </c>
      <c r="G302" s="24"/>
      <c r="I302" s="78">
        <f t="shared" si="34"/>
        <v>0</v>
      </c>
      <c r="J302" s="78">
        <f t="shared" si="35"/>
        <v>0</v>
      </c>
      <c r="K302" s="78">
        <f t="shared" si="36"/>
        <v>0</v>
      </c>
      <c r="L302" s="78">
        <f t="shared" si="37"/>
        <v>0</v>
      </c>
      <c r="M302" s="78">
        <f t="shared" si="38"/>
        <v>0</v>
      </c>
      <c r="N302" s="78">
        <f t="shared" si="39"/>
        <v>0</v>
      </c>
      <c r="O302" s="79">
        <f t="shared" si="40"/>
        <v>0</v>
      </c>
    </row>
    <row r="303" spans="2:15" s="61" customFormat="1" ht="19" customHeight="1" x14ac:dyDescent="0.2">
      <c r="B303" s="24"/>
      <c r="C303" s="24"/>
      <c r="D303" s="36"/>
      <c r="E303" s="24"/>
      <c r="F303" s="77" t="str">
        <f t="shared" si="33"/>
        <v/>
      </c>
      <c r="G303" s="24"/>
      <c r="I303" s="78">
        <f t="shared" si="34"/>
        <v>0</v>
      </c>
      <c r="J303" s="78">
        <f t="shared" si="35"/>
        <v>0</v>
      </c>
      <c r="K303" s="78">
        <f t="shared" si="36"/>
        <v>0</v>
      </c>
      <c r="L303" s="78">
        <f t="shared" si="37"/>
        <v>0</v>
      </c>
      <c r="M303" s="78">
        <f t="shared" si="38"/>
        <v>0</v>
      </c>
      <c r="N303" s="78">
        <f t="shared" si="39"/>
        <v>0</v>
      </c>
      <c r="O303" s="79">
        <f t="shared" si="40"/>
        <v>0</v>
      </c>
    </row>
    <row r="304" spans="2:15" s="61" customFormat="1" ht="19" customHeight="1" x14ac:dyDescent="0.2">
      <c r="B304" s="24"/>
      <c r="C304" s="24"/>
      <c r="D304" s="36"/>
      <c r="E304" s="24"/>
      <c r="F304" s="77" t="str">
        <f t="shared" si="33"/>
        <v/>
      </c>
      <c r="G304" s="24"/>
      <c r="I304" s="78">
        <f t="shared" si="34"/>
        <v>0</v>
      </c>
      <c r="J304" s="78">
        <f t="shared" si="35"/>
        <v>0</v>
      </c>
      <c r="K304" s="78">
        <f t="shared" si="36"/>
        <v>0</v>
      </c>
      <c r="L304" s="78">
        <f t="shared" si="37"/>
        <v>0</v>
      </c>
      <c r="M304" s="78">
        <f t="shared" si="38"/>
        <v>0</v>
      </c>
      <c r="N304" s="78">
        <f t="shared" si="39"/>
        <v>0</v>
      </c>
      <c r="O304" s="79">
        <f t="shared" si="40"/>
        <v>0</v>
      </c>
    </row>
    <row r="305" spans="2:15" s="61" customFormat="1" ht="19" customHeight="1" x14ac:dyDescent="0.2">
      <c r="B305" s="24"/>
      <c r="C305" s="24"/>
      <c r="D305" s="36"/>
      <c r="E305" s="24"/>
      <c r="F305" s="77" t="str">
        <f t="shared" si="33"/>
        <v/>
      </c>
      <c r="G305" s="24"/>
      <c r="I305" s="78">
        <f t="shared" si="34"/>
        <v>0</v>
      </c>
      <c r="J305" s="78">
        <f t="shared" si="35"/>
        <v>0</v>
      </c>
      <c r="K305" s="78">
        <f t="shared" si="36"/>
        <v>0</v>
      </c>
      <c r="L305" s="78">
        <f t="shared" si="37"/>
        <v>0</v>
      </c>
      <c r="M305" s="78">
        <f t="shared" si="38"/>
        <v>0</v>
      </c>
      <c r="N305" s="78">
        <f t="shared" si="39"/>
        <v>0</v>
      </c>
      <c r="O305" s="79">
        <f t="shared" si="40"/>
        <v>0</v>
      </c>
    </row>
    <row r="306" spans="2:15" s="61" customFormat="1" ht="19" customHeight="1" x14ac:dyDescent="0.2">
      <c r="B306" s="24"/>
      <c r="C306" s="24"/>
      <c r="D306" s="36"/>
      <c r="E306" s="24"/>
      <c r="F306" s="77" t="str">
        <f t="shared" si="33"/>
        <v/>
      </c>
      <c r="G306" s="24"/>
      <c r="I306" s="78">
        <f t="shared" si="34"/>
        <v>0</v>
      </c>
      <c r="J306" s="78">
        <f t="shared" si="35"/>
        <v>0</v>
      </c>
      <c r="K306" s="78">
        <f t="shared" si="36"/>
        <v>0</v>
      </c>
      <c r="L306" s="78">
        <f t="shared" si="37"/>
        <v>0</v>
      </c>
      <c r="M306" s="78">
        <f t="shared" si="38"/>
        <v>0</v>
      </c>
      <c r="N306" s="78">
        <f t="shared" si="39"/>
        <v>0</v>
      </c>
      <c r="O306" s="79">
        <f t="shared" si="40"/>
        <v>0</v>
      </c>
    </row>
    <row r="307" spans="2:15" s="61" customFormat="1" ht="19" customHeight="1" x14ac:dyDescent="0.2">
      <c r="B307" s="24"/>
      <c r="C307" s="24"/>
      <c r="D307" s="36"/>
      <c r="E307" s="24"/>
      <c r="F307" s="77" t="str">
        <f t="shared" si="33"/>
        <v/>
      </c>
      <c r="G307" s="24"/>
      <c r="I307" s="78">
        <f t="shared" si="34"/>
        <v>0</v>
      </c>
      <c r="J307" s="78">
        <f t="shared" si="35"/>
        <v>0</v>
      </c>
      <c r="K307" s="78">
        <f t="shared" si="36"/>
        <v>0</v>
      </c>
      <c r="L307" s="78">
        <f t="shared" si="37"/>
        <v>0</v>
      </c>
      <c r="M307" s="78">
        <f t="shared" si="38"/>
        <v>0</v>
      </c>
      <c r="N307" s="78">
        <f t="shared" si="39"/>
        <v>0</v>
      </c>
      <c r="O307" s="79">
        <f t="shared" si="40"/>
        <v>0</v>
      </c>
    </row>
    <row r="308" spans="2:15" s="61" customFormat="1" ht="19" customHeight="1" x14ac:dyDescent="0.2">
      <c r="B308" s="24"/>
      <c r="C308" s="24"/>
      <c r="D308" s="36"/>
      <c r="E308" s="24"/>
      <c r="F308" s="77" t="str">
        <f t="shared" si="33"/>
        <v/>
      </c>
      <c r="G308" s="24"/>
      <c r="I308" s="78">
        <f t="shared" si="34"/>
        <v>0</v>
      </c>
      <c r="J308" s="78">
        <f t="shared" si="35"/>
        <v>0</v>
      </c>
      <c r="K308" s="78">
        <f t="shared" si="36"/>
        <v>0</v>
      </c>
      <c r="L308" s="78">
        <f t="shared" si="37"/>
        <v>0</v>
      </c>
      <c r="M308" s="78">
        <f t="shared" si="38"/>
        <v>0</v>
      </c>
      <c r="N308" s="78">
        <f t="shared" si="39"/>
        <v>0</v>
      </c>
      <c r="O308" s="79">
        <f t="shared" si="40"/>
        <v>0</v>
      </c>
    </row>
    <row r="309" spans="2:15" s="61" customFormat="1" ht="19" customHeight="1" x14ac:dyDescent="0.2">
      <c r="B309" s="24"/>
      <c r="C309" s="24"/>
      <c r="D309" s="36"/>
      <c r="E309" s="24"/>
      <c r="F309" s="77" t="str">
        <f t="shared" si="33"/>
        <v/>
      </c>
      <c r="G309" s="24"/>
      <c r="I309" s="78">
        <f t="shared" si="34"/>
        <v>0</v>
      </c>
      <c r="J309" s="78">
        <f t="shared" si="35"/>
        <v>0</v>
      </c>
      <c r="K309" s="78">
        <f t="shared" si="36"/>
        <v>0</v>
      </c>
      <c r="L309" s="78">
        <f t="shared" si="37"/>
        <v>0</v>
      </c>
      <c r="M309" s="78">
        <f t="shared" si="38"/>
        <v>0</v>
      </c>
      <c r="N309" s="78">
        <f t="shared" si="39"/>
        <v>0</v>
      </c>
      <c r="O309" s="79">
        <f t="shared" si="40"/>
        <v>0</v>
      </c>
    </row>
    <row r="310" spans="2:15" s="61" customFormat="1" ht="19" customHeight="1" x14ac:dyDescent="0.2">
      <c r="B310" s="24"/>
      <c r="C310" s="24"/>
      <c r="D310" s="36"/>
      <c r="E310" s="24"/>
      <c r="F310" s="77" t="str">
        <f t="shared" si="33"/>
        <v/>
      </c>
      <c r="G310" s="24"/>
      <c r="I310" s="78">
        <f t="shared" si="34"/>
        <v>0</v>
      </c>
      <c r="J310" s="78">
        <f t="shared" si="35"/>
        <v>0</v>
      </c>
      <c r="K310" s="78">
        <f t="shared" si="36"/>
        <v>0</v>
      </c>
      <c r="L310" s="78">
        <f t="shared" si="37"/>
        <v>0</v>
      </c>
      <c r="M310" s="78">
        <f t="shared" si="38"/>
        <v>0</v>
      </c>
      <c r="N310" s="78">
        <f t="shared" si="39"/>
        <v>0</v>
      </c>
      <c r="O310" s="79">
        <f t="shared" si="40"/>
        <v>0</v>
      </c>
    </row>
    <row r="311" spans="2:15" s="61" customFormat="1" ht="19" customHeight="1" x14ac:dyDescent="0.2">
      <c r="B311" s="24"/>
      <c r="C311" s="24"/>
      <c r="D311" s="36"/>
      <c r="E311" s="24"/>
      <c r="F311" s="77" t="str">
        <f t="shared" si="33"/>
        <v/>
      </c>
      <c r="G311" s="24"/>
      <c r="I311" s="78">
        <f t="shared" si="34"/>
        <v>0</v>
      </c>
      <c r="J311" s="78">
        <f t="shared" si="35"/>
        <v>0</v>
      </c>
      <c r="K311" s="78">
        <f t="shared" si="36"/>
        <v>0</v>
      </c>
      <c r="L311" s="78">
        <f t="shared" si="37"/>
        <v>0</v>
      </c>
      <c r="M311" s="78">
        <f t="shared" si="38"/>
        <v>0</v>
      </c>
      <c r="N311" s="78">
        <f t="shared" si="39"/>
        <v>0</v>
      </c>
      <c r="O311" s="79">
        <f t="shared" si="40"/>
        <v>0</v>
      </c>
    </row>
    <row r="312" spans="2:15" s="61" customFormat="1" ht="19" customHeight="1" x14ac:dyDescent="0.2">
      <c r="B312" s="24"/>
      <c r="C312" s="24"/>
      <c r="D312" s="36"/>
      <c r="E312" s="24"/>
      <c r="F312" s="77" t="str">
        <f t="shared" si="33"/>
        <v/>
      </c>
      <c r="G312" s="24"/>
      <c r="I312" s="78">
        <f t="shared" si="34"/>
        <v>0</v>
      </c>
      <c r="J312" s="78">
        <f t="shared" si="35"/>
        <v>0</v>
      </c>
      <c r="K312" s="78">
        <f t="shared" si="36"/>
        <v>0</v>
      </c>
      <c r="L312" s="78">
        <f t="shared" si="37"/>
        <v>0</v>
      </c>
      <c r="M312" s="78">
        <f t="shared" si="38"/>
        <v>0</v>
      </c>
      <c r="N312" s="78">
        <f t="shared" si="39"/>
        <v>0</v>
      </c>
      <c r="O312" s="79">
        <f t="shared" si="40"/>
        <v>0</v>
      </c>
    </row>
    <row r="313" spans="2:15" s="61" customFormat="1" ht="19" customHeight="1" x14ac:dyDescent="0.2">
      <c r="B313" s="24"/>
      <c r="C313" s="24"/>
      <c r="D313" s="36"/>
      <c r="E313" s="24"/>
      <c r="F313" s="77" t="str">
        <f t="shared" si="33"/>
        <v/>
      </c>
      <c r="G313" s="24"/>
      <c r="I313" s="78">
        <f t="shared" si="34"/>
        <v>0</v>
      </c>
      <c r="J313" s="78">
        <f t="shared" si="35"/>
        <v>0</v>
      </c>
      <c r="K313" s="78">
        <f t="shared" si="36"/>
        <v>0</v>
      </c>
      <c r="L313" s="78">
        <f t="shared" si="37"/>
        <v>0</v>
      </c>
      <c r="M313" s="78">
        <f t="shared" si="38"/>
        <v>0</v>
      </c>
      <c r="N313" s="78">
        <f t="shared" si="39"/>
        <v>0</v>
      </c>
      <c r="O313" s="79">
        <f t="shared" si="40"/>
        <v>0</v>
      </c>
    </row>
    <row r="314" spans="2:15" s="61" customFormat="1" ht="19" customHeight="1" x14ac:dyDescent="0.2">
      <c r="B314" s="24"/>
      <c r="C314" s="24"/>
      <c r="D314" s="36"/>
      <c r="E314" s="24"/>
      <c r="F314" s="77" t="str">
        <f t="shared" si="33"/>
        <v/>
      </c>
      <c r="G314" s="24"/>
      <c r="I314" s="78">
        <f t="shared" si="34"/>
        <v>0</v>
      </c>
      <c r="J314" s="78">
        <f t="shared" si="35"/>
        <v>0</v>
      </c>
      <c r="K314" s="78">
        <f t="shared" si="36"/>
        <v>0</v>
      </c>
      <c r="L314" s="78">
        <f t="shared" si="37"/>
        <v>0</v>
      </c>
      <c r="M314" s="78">
        <f t="shared" si="38"/>
        <v>0</v>
      </c>
      <c r="N314" s="78">
        <f t="shared" si="39"/>
        <v>0</v>
      </c>
      <c r="O314" s="79">
        <f t="shared" si="40"/>
        <v>0</v>
      </c>
    </row>
    <row r="315" spans="2:15" s="61" customFormat="1" ht="19" customHeight="1" x14ac:dyDescent="0.2">
      <c r="B315" s="24"/>
      <c r="C315" s="24"/>
      <c r="D315" s="36"/>
      <c r="E315" s="24"/>
      <c r="F315" s="77" t="str">
        <f t="shared" si="33"/>
        <v/>
      </c>
      <c r="G315" s="24"/>
      <c r="I315" s="78">
        <f t="shared" si="34"/>
        <v>0</v>
      </c>
      <c r="J315" s="78">
        <f t="shared" si="35"/>
        <v>0</v>
      </c>
      <c r="K315" s="78">
        <f t="shared" si="36"/>
        <v>0</v>
      </c>
      <c r="L315" s="78">
        <f t="shared" si="37"/>
        <v>0</v>
      </c>
      <c r="M315" s="78">
        <f t="shared" si="38"/>
        <v>0</v>
      </c>
      <c r="N315" s="78">
        <f t="shared" si="39"/>
        <v>0</v>
      </c>
      <c r="O315" s="79">
        <f t="shared" si="40"/>
        <v>0</v>
      </c>
    </row>
    <row r="316" spans="2:15" s="61" customFormat="1" ht="19" customHeight="1" x14ac:dyDescent="0.2">
      <c r="B316" s="24"/>
      <c r="C316" s="24"/>
      <c r="D316" s="36"/>
      <c r="E316" s="24"/>
      <c r="F316" s="77" t="str">
        <f t="shared" si="33"/>
        <v/>
      </c>
      <c r="G316" s="24"/>
      <c r="I316" s="78">
        <f t="shared" si="34"/>
        <v>0</v>
      </c>
      <c r="J316" s="78">
        <f t="shared" si="35"/>
        <v>0</v>
      </c>
      <c r="K316" s="78">
        <f t="shared" si="36"/>
        <v>0</v>
      </c>
      <c r="L316" s="78">
        <f t="shared" si="37"/>
        <v>0</v>
      </c>
      <c r="M316" s="78">
        <f t="shared" si="38"/>
        <v>0</v>
      </c>
      <c r="N316" s="78">
        <f t="shared" si="39"/>
        <v>0</v>
      </c>
      <c r="O316" s="79">
        <f t="shared" si="40"/>
        <v>0</v>
      </c>
    </row>
    <row r="317" spans="2:15" s="61" customFormat="1" ht="19" customHeight="1" x14ac:dyDescent="0.2">
      <c r="B317" s="24"/>
      <c r="C317" s="24"/>
      <c r="D317" s="36"/>
      <c r="E317" s="24"/>
      <c r="F317" s="77" t="str">
        <f t="shared" si="33"/>
        <v/>
      </c>
      <c r="G317" s="24"/>
      <c r="I317" s="78">
        <f t="shared" si="34"/>
        <v>0</v>
      </c>
      <c r="J317" s="78">
        <f t="shared" si="35"/>
        <v>0</v>
      </c>
      <c r="K317" s="78">
        <f t="shared" si="36"/>
        <v>0</v>
      </c>
      <c r="L317" s="78">
        <f t="shared" si="37"/>
        <v>0</v>
      </c>
      <c r="M317" s="78">
        <f t="shared" si="38"/>
        <v>0</v>
      </c>
      <c r="N317" s="78">
        <f t="shared" si="39"/>
        <v>0</v>
      </c>
      <c r="O317" s="79">
        <f t="shared" si="40"/>
        <v>0</v>
      </c>
    </row>
    <row r="318" spans="2:15" s="61" customFormat="1" ht="19" customHeight="1" x14ac:dyDescent="0.2">
      <c r="B318" s="24"/>
      <c r="C318" s="24"/>
      <c r="D318" s="36"/>
      <c r="E318" s="24"/>
      <c r="F318" s="77" t="str">
        <f t="shared" si="33"/>
        <v/>
      </c>
      <c r="G318" s="24"/>
      <c r="I318" s="78">
        <f t="shared" si="34"/>
        <v>0</v>
      </c>
      <c r="J318" s="78">
        <f t="shared" si="35"/>
        <v>0</v>
      </c>
      <c r="K318" s="78">
        <f t="shared" si="36"/>
        <v>0</v>
      </c>
      <c r="L318" s="78">
        <f t="shared" si="37"/>
        <v>0</v>
      </c>
      <c r="M318" s="78">
        <f t="shared" si="38"/>
        <v>0</v>
      </c>
      <c r="N318" s="78">
        <f t="shared" si="39"/>
        <v>0</v>
      </c>
      <c r="O318" s="79">
        <f t="shared" si="40"/>
        <v>0</v>
      </c>
    </row>
    <row r="319" spans="2:15" s="61" customFormat="1" ht="19" customHeight="1" x14ac:dyDescent="0.2">
      <c r="B319" s="24"/>
      <c r="C319" s="24"/>
      <c r="D319" s="36"/>
      <c r="E319" s="24"/>
      <c r="F319" s="77" t="str">
        <f t="shared" si="33"/>
        <v/>
      </c>
      <c r="G319" s="24"/>
      <c r="I319" s="78">
        <f t="shared" si="34"/>
        <v>0</v>
      </c>
      <c r="J319" s="78">
        <f t="shared" si="35"/>
        <v>0</v>
      </c>
      <c r="K319" s="78">
        <f t="shared" si="36"/>
        <v>0</v>
      </c>
      <c r="L319" s="78">
        <f t="shared" si="37"/>
        <v>0</v>
      </c>
      <c r="M319" s="78">
        <f t="shared" si="38"/>
        <v>0</v>
      </c>
      <c r="N319" s="78">
        <f t="shared" si="39"/>
        <v>0</v>
      </c>
      <c r="O319" s="79">
        <f t="shared" si="40"/>
        <v>0</v>
      </c>
    </row>
    <row r="320" spans="2:15" s="61" customFormat="1" ht="19" customHeight="1" x14ac:dyDescent="0.2">
      <c r="B320" s="24"/>
      <c r="C320" s="24"/>
      <c r="D320" s="36"/>
      <c r="E320" s="24"/>
      <c r="F320" s="77" t="str">
        <f t="shared" si="33"/>
        <v/>
      </c>
      <c r="G320" s="24"/>
      <c r="I320" s="78">
        <f t="shared" si="34"/>
        <v>0</v>
      </c>
      <c r="J320" s="78">
        <f t="shared" si="35"/>
        <v>0</v>
      </c>
      <c r="K320" s="78">
        <f t="shared" si="36"/>
        <v>0</v>
      </c>
      <c r="L320" s="78">
        <f t="shared" si="37"/>
        <v>0</v>
      </c>
      <c r="M320" s="78">
        <f t="shared" si="38"/>
        <v>0</v>
      </c>
      <c r="N320" s="78">
        <f t="shared" si="39"/>
        <v>0</v>
      </c>
      <c r="O320" s="79">
        <f t="shared" si="40"/>
        <v>0</v>
      </c>
    </row>
    <row r="321" spans="2:15" s="61" customFormat="1" ht="19" customHeight="1" x14ac:dyDescent="0.2">
      <c r="B321" s="24"/>
      <c r="C321" s="24"/>
      <c r="D321" s="36"/>
      <c r="E321" s="24"/>
      <c r="F321" s="77" t="str">
        <f t="shared" si="33"/>
        <v/>
      </c>
      <c r="G321" s="24"/>
      <c r="I321" s="78">
        <f t="shared" si="34"/>
        <v>0</v>
      </c>
      <c r="J321" s="78">
        <f t="shared" si="35"/>
        <v>0</v>
      </c>
      <c r="K321" s="78">
        <f t="shared" si="36"/>
        <v>0</v>
      </c>
      <c r="L321" s="78">
        <f t="shared" si="37"/>
        <v>0</v>
      </c>
      <c r="M321" s="78">
        <f t="shared" si="38"/>
        <v>0</v>
      </c>
      <c r="N321" s="78">
        <f t="shared" si="39"/>
        <v>0</v>
      </c>
      <c r="O321" s="79">
        <f t="shared" si="40"/>
        <v>0</v>
      </c>
    </row>
    <row r="322" spans="2:15" s="61" customFormat="1" ht="19" customHeight="1" x14ac:dyDescent="0.2">
      <c r="B322" s="24"/>
      <c r="C322" s="24"/>
      <c r="D322" s="36"/>
      <c r="E322" s="24"/>
      <c r="F322" s="77" t="str">
        <f t="shared" si="33"/>
        <v/>
      </c>
      <c r="G322" s="24"/>
      <c r="I322" s="78">
        <f t="shared" si="34"/>
        <v>0</v>
      </c>
      <c r="J322" s="78">
        <f t="shared" si="35"/>
        <v>0</v>
      </c>
      <c r="K322" s="78">
        <f t="shared" si="36"/>
        <v>0</v>
      </c>
      <c r="L322" s="78">
        <f t="shared" si="37"/>
        <v>0</v>
      </c>
      <c r="M322" s="78">
        <f t="shared" si="38"/>
        <v>0</v>
      </c>
      <c r="N322" s="78">
        <f t="shared" si="39"/>
        <v>0</v>
      </c>
      <c r="O322" s="79">
        <f t="shared" si="40"/>
        <v>0</v>
      </c>
    </row>
    <row r="323" spans="2:15" s="61" customFormat="1" ht="19" customHeight="1" x14ac:dyDescent="0.2">
      <c r="B323" s="24"/>
      <c r="C323" s="24"/>
      <c r="D323" s="36"/>
      <c r="E323" s="24"/>
      <c r="F323" s="77" t="str">
        <f t="shared" si="33"/>
        <v/>
      </c>
      <c r="G323" s="24"/>
      <c r="I323" s="78">
        <f t="shared" si="34"/>
        <v>0</v>
      </c>
      <c r="J323" s="78">
        <f t="shared" si="35"/>
        <v>0</v>
      </c>
      <c r="K323" s="78">
        <f t="shared" si="36"/>
        <v>0</v>
      </c>
      <c r="L323" s="78">
        <f t="shared" si="37"/>
        <v>0</v>
      </c>
      <c r="M323" s="78">
        <f t="shared" si="38"/>
        <v>0</v>
      </c>
      <c r="N323" s="78">
        <f t="shared" si="39"/>
        <v>0</v>
      </c>
      <c r="O323" s="79">
        <f t="shared" si="40"/>
        <v>0</v>
      </c>
    </row>
    <row r="324" spans="2:15" s="61" customFormat="1" ht="19" customHeight="1" x14ac:dyDescent="0.2">
      <c r="B324" s="24"/>
      <c r="C324" s="24"/>
      <c r="D324" s="36"/>
      <c r="E324" s="24"/>
      <c r="F324" s="77" t="str">
        <f t="shared" si="33"/>
        <v/>
      </c>
      <c r="G324" s="24"/>
      <c r="I324" s="78">
        <f t="shared" si="34"/>
        <v>0</v>
      </c>
      <c r="J324" s="78">
        <f t="shared" si="35"/>
        <v>0</v>
      </c>
      <c r="K324" s="78">
        <f t="shared" si="36"/>
        <v>0</v>
      </c>
      <c r="L324" s="78">
        <f t="shared" si="37"/>
        <v>0</v>
      </c>
      <c r="M324" s="78">
        <f t="shared" si="38"/>
        <v>0</v>
      </c>
      <c r="N324" s="78">
        <f t="shared" si="39"/>
        <v>0</v>
      </c>
      <c r="O324" s="79">
        <f t="shared" si="40"/>
        <v>0</v>
      </c>
    </row>
    <row r="325" spans="2:15" s="61" customFormat="1" ht="19" customHeight="1" x14ac:dyDescent="0.2">
      <c r="B325" s="24"/>
      <c r="C325" s="24"/>
      <c r="D325" s="36"/>
      <c r="E325" s="24"/>
      <c r="F325" s="77" t="str">
        <f t="shared" si="33"/>
        <v/>
      </c>
      <c r="G325" s="24"/>
      <c r="I325" s="78">
        <f t="shared" si="34"/>
        <v>0</v>
      </c>
      <c r="J325" s="78">
        <f t="shared" si="35"/>
        <v>0</v>
      </c>
      <c r="K325" s="78">
        <f t="shared" si="36"/>
        <v>0</v>
      </c>
      <c r="L325" s="78">
        <f t="shared" si="37"/>
        <v>0</v>
      </c>
      <c r="M325" s="78">
        <f t="shared" si="38"/>
        <v>0</v>
      </c>
      <c r="N325" s="78">
        <f t="shared" si="39"/>
        <v>0</v>
      </c>
      <c r="O325" s="79">
        <f t="shared" si="40"/>
        <v>0</v>
      </c>
    </row>
    <row r="326" spans="2:15" s="61" customFormat="1" ht="19" customHeight="1" x14ac:dyDescent="0.2">
      <c r="B326" s="24"/>
      <c r="C326" s="24"/>
      <c r="D326" s="36"/>
      <c r="E326" s="24"/>
      <c r="F326" s="77" t="str">
        <f t="shared" si="33"/>
        <v/>
      </c>
      <c r="G326" s="24"/>
      <c r="I326" s="78">
        <f t="shared" si="34"/>
        <v>0</v>
      </c>
      <c r="J326" s="78">
        <f t="shared" si="35"/>
        <v>0</v>
      </c>
      <c r="K326" s="78">
        <f t="shared" si="36"/>
        <v>0</v>
      </c>
      <c r="L326" s="78">
        <f t="shared" si="37"/>
        <v>0</v>
      </c>
      <c r="M326" s="78">
        <f t="shared" si="38"/>
        <v>0</v>
      </c>
      <c r="N326" s="78">
        <f t="shared" si="39"/>
        <v>0</v>
      </c>
      <c r="O326" s="79">
        <f t="shared" si="40"/>
        <v>0</v>
      </c>
    </row>
    <row r="327" spans="2:15" s="61" customFormat="1" ht="19" customHeight="1" x14ac:dyDescent="0.2">
      <c r="B327" s="24"/>
      <c r="C327" s="24"/>
      <c r="D327" s="36"/>
      <c r="E327" s="24"/>
      <c r="F327" s="77" t="str">
        <f t="shared" si="33"/>
        <v/>
      </c>
      <c r="G327" s="24"/>
      <c r="I327" s="78">
        <f t="shared" si="34"/>
        <v>0</v>
      </c>
      <c r="J327" s="78">
        <f t="shared" si="35"/>
        <v>0</v>
      </c>
      <c r="K327" s="78">
        <f t="shared" si="36"/>
        <v>0</v>
      </c>
      <c r="L327" s="78">
        <f t="shared" si="37"/>
        <v>0</v>
      </c>
      <c r="M327" s="78">
        <f t="shared" si="38"/>
        <v>0</v>
      </c>
      <c r="N327" s="78">
        <f t="shared" si="39"/>
        <v>0</v>
      </c>
      <c r="O327" s="79">
        <f t="shared" si="40"/>
        <v>0</v>
      </c>
    </row>
    <row r="328" spans="2:15" s="61" customFormat="1" ht="19" customHeight="1" x14ac:dyDescent="0.2">
      <c r="B328" s="24"/>
      <c r="C328" s="24"/>
      <c r="D328" s="36"/>
      <c r="E328" s="24"/>
      <c r="F328" s="77" t="str">
        <f t="shared" si="33"/>
        <v/>
      </c>
      <c r="G328" s="24"/>
      <c r="I328" s="78">
        <f t="shared" si="34"/>
        <v>0</v>
      </c>
      <c r="J328" s="78">
        <f t="shared" si="35"/>
        <v>0</v>
      </c>
      <c r="K328" s="78">
        <f t="shared" si="36"/>
        <v>0</v>
      </c>
      <c r="L328" s="78">
        <f t="shared" si="37"/>
        <v>0</v>
      </c>
      <c r="M328" s="78">
        <f t="shared" si="38"/>
        <v>0</v>
      </c>
      <c r="N328" s="78">
        <f t="shared" si="39"/>
        <v>0</v>
      </c>
      <c r="O328" s="79">
        <f t="shared" si="40"/>
        <v>0</v>
      </c>
    </row>
    <row r="329" spans="2:15" s="61" customFormat="1" ht="19" customHeight="1" x14ac:dyDescent="0.2">
      <c r="B329" s="24"/>
      <c r="C329" s="24"/>
      <c r="D329" s="36"/>
      <c r="E329" s="24"/>
      <c r="F329" s="77" t="str">
        <f t="shared" si="33"/>
        <v/>
      </c>
      <c r="G329" s="24"/>
      <c r="I329" s="78">
        <f t="shared" si="34"/>
        <v>0</v>
      </c>
      <c r="J329" s="78">
        <f t="shared" si="35"/>
        <v>0</v>
      </c>
      <c r="K329" s="78">
        <f t="shared" si="36"/>
        <v>0</v>
      </c>
      <c r="L329" s="78">
        <f t="shared" si="37"/>
        <v>0</v>
      </c>
      <c r="M329" s="78">
        <f t="shared" si="38"/>
        <v>0</v>
      </c>
      <c r="N329" s="78">
        <f t="shared" si="39"/>
        <v>0</v>
      </c>
      <c r="O329" s="79">
        <f t="shared" si="40"/>
        <v>0</v>
      </c>
    </row>
    <row r="330" spans="2:15" s="61" customFormat="1" ht="19" customHeight="1" x14ac:dyDescent="0.2">
      <c r="B330" s="24"/>
      <c r="C330" s="24"/>
      <c r="D330" s="36"/>
      <c r="E330" s="24"/>
      <c r="F330" s="77" t="str">
        <f t="shared" si="33"/>
        <v/>
      </c>
      <c r="G330" s="24"/>
      <c r="I330" s="78">
        <f t="shared" si="34"/>
        <v>0</v>
      </c>
      <c r="J330" s="78">
        <f t="shared" si="35"/>
        <v>0</v>
      </c>
      <c r="K330" s="78">
        <f t="shared" si="36"/>
        <v>0</v>
      </c>
      <c r="L330" s="78">
        <f t="shared" si="37"/>
        <v>0</v>
      </c>
      <c r="M330" s="78">
        <f t="shared" si="38"/>
        <v>0</v>
      </c>
      <c r="N330" s="78">
        <f t="shared" si="39"/>
        <v>0</v>
      </c>
      <c r="O330" s="79">
        <f t="shared" si="40"/>
        <v>0</v>
      </c>
    </row>
    <row r="331" spans="2:15" s="61" customFormat="1" ht="19" customHeight="1" x14ac:dyDescent="0.2">
      <c r="B331" s="24"/>
      <c r="C331" s="24"/>
      <c r="D331" s="36"/>
      <c r="E331" s="24"/>
      <c r="F331" s="77" t="str">
        <f t="shared" ref="F331:F394" si="41">IF(E331="","",IFERROR(VLOOKUP(E331,zone,2,0),""))</f>
        <v/>
      </c>
      <c r="G331" s="24"/>
      <c r="I331" s="78">
        <f t="shared" si="34"/>
        <v>0</v>
      </c>
      <c r="J331" s="78">
        <f t="shared" si="35"/>
        <v>0</v>
      </c>
      <c r="K331" s="78">
        <f t="shared" si="36"/>
        <v>0</v>
      </c>
      <c r="L331" s="78">
        <f t="shared" si="37"/>
        <v>0</v>
      </c>
      <c r="M331" s="78">
        <f t="shared" si="38"/>
        <v>0</v>
      </c>
      <c r="N331" s="78">
        <f t="shared" si="39"/>
        <v>0</v>
      </c>
      <c r="O331" s="79">
        <f t="shared" si="40"/>
        <v>0</v>
      </c>
    </row>
    <row r="332" spans="2:15" s="61" customFormat="1" ht="19" customHeight="1" x14ac:dyDescent="0.2">
      <c r="B332" s="24"/>
      <c r="C332" s="24"/>
      <c r="D332" s="36"/>
      <c r="E332" s="24"/>
      <c r="F332" s="77" t="str">
        <f t="shared" si="41"/>
        <v/>
      </c>
      <c r="G332" s="24"/>
      <c r="I332" s="78">
        <f t="shared" ref="I332:I395" si="42">IF(B332="",0,1)</f>
        <v>0</v>
      </c>
      <c r="J332" s="78">
        <f t="shared" ref="J332:J395" si="43">IF(C332="",0,1)</f>
        <v>0</v>
      </c>
      <c r="K332" s="78">
        <f t="shared" ref="K332:K395" si="44">IF(D332="",0,1)</f>
        <v>0</v>
      </c>
      <c r="L332" s="78">
        <f t="shared" ref="L332:L395" si="45">IF(E332="",0,1)</f>
        <v>0</v>
      </c>
      <c r="M332" s="78">
        <f t="shared" ref="M332:M395" si="46">IF(F332="",0,1)</f>
        <v>0</v>
      </c>
      <c r="N332" s="78">
        <f t="shared" ref="N332:N395" si="47">IF(G332="",0,1)</f>
        <v>0</v>
      </c>
      <c r="O332" s="79">
        <f t="shared" ref="O332:O395" si="48">SUM(I332:N332)</f>
        <v>0</v>
      </c>
    </row>
    <row r="333" spans="2:15" s="61" customFormat="1" ht="19" customHeight="1" x14ac:dyDescent="0.2">
      <c r="B333" s="24"/>
      <c r="C333" s="24"/>
      <c r="D333" s="36"/>
      <c r="E333" s="24"/>
      <c r="F333" s="77" t="str">
        <f t="shared" si="41"/>
        <v/>
      </c>
      <c r="G333" s="24"/>
      <c r="I333" s="78">
        <f t="shared" si="42"/>
        <v>0</v>
      </c>
      <c r="J333" s="78">
        <f t="shared" si="43"/>
        <v>0</v>
      </c>
      <c r="K333" s="78">
        <f t="shared" si="44"/>
        <v>0</v>
      </c>
      <c r="L333" s="78">
        <f t="shared" si="45"/>
        <v>0</v>
      </c>
      <c r="M333" s="78">
        <f t="shared" si="46"/>
        <v>0</v>
      </c>
      <c r="N333" s="78">
        <f t="shared" si="47"/>
        <v>0</v>
      </c>
      <c r="O333" s="79">
        <f t="shared" si="48"/>
        <v>0</v>
      </c>
    </row>
    <row r="334" spans="2:15" s="61" customFormat="1" ht="19" customHeight="1" x14ac:dyDescent="0.2">
      <c r="B334" s="24"/>
      <c r="C334" s="24"/>
      <c r="D334" s="36"/>
      <c r="E334" s="24"/>
      <c r="F334" s="77" t="str">
        <f t="shared" si="41"/>
        <v/>
      </c>
      <c r="G334" s="24"/>
      <c r="I334" s="78">
        <f t="shared" si="42"/>
        <v>0</v>
      </c>
      <c r="J334" s="78">
        <f t="shared" si="43"/>
        <v>0</v>
      </c>
      <c r="K334" s="78">
        <f t="shared" si="44"/>
        <v>0</v>
      </c>
      <c r="L334" s="78">
        <f t="shared" si="45"/>
        <v>0</v>
      </c>
      <c r="M334" s="78">
        <f t="shared" si="46"/>
        <v>0</v>
      </c>
      <c r="N334" s="78">
        <f t="shared" si="47"/>
        <v>0</v>
      </c>
      <c r="O334" s="79">
        <f t="shared" si="48"/>
        <v>0</v>
      </c>
    </row>
    <row r="335" spans="2:15" s="61" customFormat="1" ht="19" customHeight="1" x14ac:dyDescent="0.2">
      <c r="B335" s="24"/>
      <c r="C335" s="24"/>
      <c r="D335" s="36"/>
      <c r="E335" s="24"/>
      <c r="F335" s="77" t="str">
        <f t="shared" si="41"/>
        <v/>
      </c>
      <c r="G335" s="24"/>
      <c r="I335" s="78">
        <f t="shared" si="42"/>
        <v>0</v>
      </c>
      <c r="J335" s="78">
        <f t="shared" si="43"/>
        <v>0</v>
      </c>
      <c r="K335" s="78">
        <f t="shared" si="44"/>
        <v>0</v>
      </c>
      <c r="L335" s="78">
        <f t="shared" si="45"/>
        <v>0</v>
      </c>
      <c r="M335" s="78">
        <f t="shared" si="46"/>
        <v>0</v>
      </c>
      <c r="N335" s="78">
        <f t="shared" si="47"/>
        <v>0</v>
      </c>
      <c r="O335" s="79">
        <f t="shared" si="48"/>
        <v>0</v>
      </c>
    </row>
    <row r="336" spans="2:15" s="61" customFormat="1" ht="19" customHeight="1" x14ac:dyDescent="0.2">
      <c r="B336" s="24"/>
      <c r="C336" s="24"/>
      <c r="D336" s="36"/>
      <c r="E336" s="24"/>
      <c r="F336" s="77" t="str">
        <f t="shared" si="41"/>
        <v/>
      </c>
      <c r="G336" s="24"/>
      <c r="I336" s="78">
        <f t="shared" si="42"/>
        <v>0</v>
      </c>
      <c r="J336" s="78">
        <f t="shared" si="43"/>
        <v>0</v>
      </c>
      <c r="K336" s="78">
        <f t="shared" si="44"/>
        <v>0</v>
      </c>
      <c r="L336" s="78">
        <f t="shared" si="45"/>
        <v>0</v>
      </c>
      <c r="M336" s="78">
        <f t="shared" si="46"/>
        <v>0</v>
      </c>
      <c r="N336" s="78">
        <f t="shared" si="47"/>
        <v>0</v>
      </c>
      <c r="O336" s="79">
        <f t="shared" si="48"/>
        <v>0</v>
      </c>
    </row>
    <row r="337" spans="2:15" s="61" customFormat="1" ht="19" customHeight="1" x14ac:dyDescent="0.2">
      <c r="B337" s="24"/>
      <c r="C337" s="24"/>
      <c r="D337" s="36"/>
      <c r="E337" s="24"/>
      <c r="F337" s="77" t="str">
        <f t="shared" si="41"/>
        <v/>
      </c>
      <c r="G337" s="24"/>
      <c r="I337" s="78">
        <f t="shared" si="42"/>
        <v>0</v>
      </c>
      <c r="J337" s="78">
        <f t="shared" si="43"/>
        <v>0</v>
      </c>
      <c r="K337" s="78">
        <f t="shared" si="44"/>
        <v>0</v>
      </c>
      <c r="L337" s="78">
        <f t="shared" si="45"/>
        <v>0</v>
      </c>
      <c r="M337" s="78">
        <f t="shared" si="46"/>
        <v>0</v>
      </c>
      <c r="N337" s="78">
        <f t="shared" si="47"/>
        <v>0</v>
      </c>
      <c r="O337" s="79">
        <f t="shared" si="48"/>
        <v>0</v>
      </c>
    </row>
    <row r="338" spans="2:15" s="61" customFormat="1" ht="19" customHeight="1" x14ac:dyDescent="0.2">
      <c r="B338" s="24"/>
      <c r="C338" s="24"/>
      <c r="D338" s="36"/>
      <c r="E338" s="24"/>
      <c r="F338" s="77" t="str">
        <f t="shared" si="41"/>
        <v/>
      </c>
      <c r="G338" s="24"/>
      <c r="I338" s="78">
        <f t="shared" si="42"/>
        <v>0</v>
      </c>
      <c r="J338" s="78">
        <f t="shared" si="43"/>
        <v>0</v>
      </c>
      <c r="K338" s="78">
        <f t="shared" si="44"/>
        <v>0</v>
      </c>
      <c r="L338" s="78">
        <f t="shared" si="45"/>
        <v>0</v>
      </c>
      <c r="M338" s="78">
        <f t="shared" si="46"/>
        <v>0</v>
      </c>
      <c r="N338" s="78">
        <f t="shared" si="47"/>
        <v>0</v>
      </c>
      <c r="O338" s="79">
        <f t="shared" si="48"/>
        <v>0</v>
      </c>
    </row>
    <row r="339" spans="2:15" s="61" customFormat="1" ht="19" customHeight="1" x14ac:dyDescent="0.2">
      <c r="B339" s="24"/>
      <c r="C339" s="24"/>
      <c r="D339" s="36"/>
      <c r="E339" s="24"/>
      <c r="F339" s="77" t="str">
        <f t="shared" si="41"/>
        <v/>
      </c>
      <c r="G339" s="24"/>
      <c r="I339" s="78">
        <f t="shared" si="42"/>
        <v>0</v>
      </c>
      <c r="J339" s="78">
        <f t="shared" si="43"/>
        <v>0</v>
      </c>
      <c r="K339" s="78">
        <f t="shared" si="44"/>
        <v>0</v>
      </c>
      <c r="L339" s="78">
        <f t="shared" si="45"/>
        <v>0</v>
      </c>
      <c r="M339" s="78">
        <f t="shared" si="46"/>
        <v>0</v>
      </c>
      <c r="N339" s="78">
        <f t="shared" si="47"/>
        <v>0</v>
      </c>
      <c r="O339" s="79">
        <f t="shared" si="48"/>
        <v>0</v>
      </c>
    </row>
    <row r="340" spans="2:15" s="61" customFormat="1" ht="19" customHeight="1" x14ac:dyDescent="0.2">
      <c r="B340" s="24"/>
      <c r="C340" s="24"/>
      <c r="D340" s="36"/>
      <c r="E340" s="24"/>
      <c r="F340" s="77" t="str">
        <f t="shared" si="41"/>
        <v/>
      </c>
      <c r="G340" s="24"/>
      <c r="I340" s="78">
        <f t="shared" si="42"/>
        <v>0</v>
      </c>
      <c r="J340" s="78">
        <f t="shared" si="43"/>
        <v>0</v>
      </c>
      <c r="K340" s="78">
        <f t="shared" si="44"/>
        <v>0</v>
      </c>
      <c r="L340" s="78">
        <f t="shared" si="45"/>
        <v>0</v>
      </c>
      <c r="M340" s="78">
        <f t="shared" si="46"/>
        <v>0</v>
      </c>
      <c r="N340" s="78">
        <f t="shared" si="47"/>
        <v>0</v>
      </c>
      <c r="O340" s="79">
        <f t="shared" si="48"/>
        <v>0</v>
      </c>
    </row>
    <row r="341" spans="2:15" s="61" customFormat="1" ht="19" customHeight="1" x14ac:dyDescent="0.2">
      <c r="B341" s="24"/>
      <c r="C341" s="24"/>
      <c r="D341" s="36"/>
      <c r="E341" s="24"/>
      <c r="F341" s="77" t="str">
        <f t="shared" si="41"/>
        <v/>
      </c>
      <c r="G341" s="24"/>
      <c r="I341" s="78">
        <f t="shared" si="42"/>
        <v>0</v>
      </c>
      <c r="J341" s="78">
        <f t="shared" si="43"/>
        <v>0</v>
      </c>
      <c r="K341" s="78">
        <f t="shared" si="44"/>
        <v>0</v>
      </c>
      <c r="L341" s="78">
        <f t="shared" si="45"/>
        <v>0</v>
      </c>
      <c r="M341" s="78">
        <f t="shared" si="46"/>
        <v>0</v>
      </c>
      <c r="N341" s="78">
        <f t="shared" si="47"/>
        <v>0</v>
      </c>
      <c r="O341" s="79">
        <f t="shared" si="48"/>
        <v>0</v>
      </c>
    </row>
    <row r="342" spans="2:15" s="61" customFormat="1" ht="19" customHeight="1" x14ac:dyDescent="0.2">
      <c r="B342" s="24"/>
      <c r="C342" s="24"/>
      <c r="D342" s="36"/>
      <c r="E342" s="24"/>
      <c r="F342" s="77" t="str">
        <f t="shared" si="41"/>
        <v/>
      </c>
      <c r="G342" s="24"/>
      <c r="I342" s="78">
        <f t="shared" si="42"/>
        <v>0</v>
      </c>
      <c r="J342" s="78">
        <f t="shared" si="43"/>
        <v>0</v>
      </c>
      <c r="K342" s="78">
        <f t="shared" si="44"/>
        <v>0</v>
      </c>
      <c r="L342" s="78">
        <f t="shared" si="45"/>
        <v>0</v>
      </c>
      <c r="M342" s="78">
        <f t="shared" si="46"/>
        <v>0</v>
      </c>
      <c r="N342" s="78">
        <f t="shared" si="47"/>
        <v>0</v>
      </c>
      <c r="O342" s="79">
        <f t="shared" si="48"/>
        <v>0</v>
      </c>
    </row>
    <row r="343" spans="2:15" s="61" customFormat="1" ht="19" customHeight="1" x14ac:dyDescent="0.2">
      <c r="B343" s="24"/>
      <c r="C343" s="24"/>
      <c r="D343" s="36"/>
      <c r="E343" s="24"/>
      <c r="F343" s="77" t="str">
        <f t="shared" si="41"/>
        <v/>
      </c>
      <c r="G343" s="24"/>
      <c r="I343" s="78">
        <f t="shared" si="42"/>
        <v>0</v>
      </c>
      <c r="J343" s="78">
        <f t="shared" si="43"/>
        <v>0</v>
      </c>
      <c r="K343" s="78">
        <f t="shared" si="44"/>
        <v>0</v>
      </c>
      <c r="L343" s="78">
        <f t="shared" si="45"/>
        <v>0</v>
      </c>
      <c r="M343" s="78">
        <f t="shared" si="46"/>
        <v>0</v>
      </c>
      <c r="N343" s="78">
        <f t="shared" si="47"/>
        <v>0</v>
      </c>
      <c r="O343" s="79">
        <f t="shared" si="48"/>
        <v>0</v>
      </c>
    </row>
    <row r="344" spans="2:15" s="61" customFormat="1" ht="19" customHeight="1" x14ac:dyDescent="0.2">
      <c r="B344" s="24"/>
      <c r="C344" s="24"/>
      <c r="D344" s="36"/>
      <c r="E344" s="24"/>
      <c r="F344" s="77" t="str">
        <f t="shared" si="41"/>
        <v/>
      </c>
      <c r="G344" s="24"/>
      <c r="I344" s="78">
        <f t="shared" si="42"/>
        <v>0</v>
      </c>
      <c r="J344" s="78">
        <f t="shared" si="43"/>
        <v>0</v>
      </c>
      <c r="K344" s="78">
        <f t="shared" si="44"/>
        <v>0</v>
      </c>
      <c r="L344" s="78">
        <f t="shared" si="45"/>
        <v>0</v>
      </c>
      <c r="M344" s="78">
        <f t="shared" si="46"/>
        <v>0</v>
      </c>
      <c r="N344" s="78">
        <f t="shared" si="47"/>
        <v>0</v>
      </c>
      <c r="O344" s="79">
        <f t="shared" si="48"/>
        <v>0</v>
      </c>
    </row>
    <row r="345" spans="2:15" s="61" customFormat="1" ht="19" customHeight="1" x14ac:dyDescent="0.2">
      <c r="B345" s="24"/>
      <c r="C345" s="24"/>
      <c r="D345" s="36"/>
      <c r="E345" s="24"/>
      <c r="F345" s="77" t="str">
        <f t="shared" si="41"/>
        <v/>
      </c>
      <c r="G345" s="24"/>
      <c r="I345" s="78">
        <f t="shared" si="42"/>
        <v>0</v>
      </c>
      <c r="J345" s="78">
        <f t="shared" si="43"/>
        <v>0</v>
      </c>
      <c r="K345" s="78">
        <f t="shared" si="44"/>
        <v>0</v>
      </c>
      <c r="L345" s="78">
        <f t="shared" si="45"/>
        <v>0</v>
      </c>
      <c r="M345" s="78">
        <f t="shared" si="46"/>
        <v>0</v>
      </c>
      <c r="N345" s="78">
        <f t="shared" si="47"/>
        <v>0</v>
      </c>
      <c r="O345" s="79">
        <f t="shared" si="48"/>
        <v>0</v>
      </c>
    </row>
    <row r="346" spans="2:15" s="61" customFormat="1" ht="19" customHeight="1" x14ac:dyDescent="0.2">
      <c r="B346" s="24"/>
      <c r="C346" s="24"/>
      <c r="D346" s="36"/>
      <c r="E346" s="24"/>
      <c r="F346" s="77" t="str">
        <f t="shared" si="41"/>
        <v/>
      </c>
      <c r="G346" s="24"/>
      <c r="I346" s="78">
        <f t="shared" si="42"/>
        <v>0</v>
      </c>
      <c r="J346" s="78">
        <f t="shared" si="43"/>
        <v>0</v>
      </c>
      <c r="K346" s="78">
        <f t="shared" si="44"/>
        <v>0</v>
      </c>
      <c r="L346" s="78">
        <f t="shared" si="45"/>
        <v>0</v>
      </c>
      <c r="M346" s="78">
        <f t="shared" si="46"/>
        <v>0</v>
      </c>
      <c r="N346" s="78">
        <f t="shared" si="47"/>
        <v>0</v>
      </c>
      <c r="O346" s="79">
        <f t="shared" si="48"/>
        <v>0</v>
      </c>
    </row>
    <row r="347" spans="2:15" s="61" customFormat="1" ht="19" customHeight="1" x14ac:dyDescent="0.2">
      <c r="B347" s="24"/>
      <c r="C347" s="24"/>
      <c r="D347" s="36"/>
      <c r="E347" s="24"/>
      <c r="F347" s="77" t="str">
        <f t="shared" si="41"/>
        <v/>
      </c>
      <c r="G347" s="24"/>
      <c r="I347" s="78">
        <f t="shared" si="42"/>
        <v>0</v>
      </c>
      <c r="J347" s="78">
        <f t="shared" si="43"/>
        <v>0</v>
      </c>
      <c r="K347" s="78">
        <f t="shared" si="44"/>
        <v>0</v>
      </c>
      <c r="L347" s="78">
        <f t="shared" si="45"/>
        <v>0</v>
      </c>
      <c r="M347" s="78">
        <f t="shared" si="46"/>
        <v>0</v>
      </c>
      <c r="N347" s="78">
        <f t="shared" si="47"/>
        <v>0</v>
      </c>
      <c r="O347" s="79">
        <f t="shared" si="48"/>
        <v>0</v>
      </c>
    </row>
    <row r="348" spans="2:15" s="61" customFormat="1" ht="19" customHeight="1" x14ac:dyDescent="0.2">
      <c r="B348" s="24"/>
      <c r="C348" s="24"/>
      <c r="D348" s="36"/>
      <c r="E348" s="24"/>
      <c r="F348" s="77" t="str">
        <f t="shared" si="41"/>
        <v/>
      </c>
      <c r="G348" s="24"/>
      <c r="I348" s="78">
        <f t="shared" si="42"/>
        <v>0</v>
      </c>
      <c r="J348" s="78">
        <f t="shared" si="43"/>
        <v>0</v>
      </c>
      <c r="K348" s="78">
        <f t="shared" si="44"/>
        <v>0</v>
      </c>
      <c r="L348" s="78">
        <f t="shared" si="45"/>
        <v>0</v>
      </c>
      <c r="M348" s="78">
        <f t="shared" si="46"/>
        <v>0</v>
      </c>
      <c r="N348" s="78">
        <f t="shared" si="47"/>
        <v>0</v>
      </c>
      <c r="O348" s="79">
        <f t="shared" si="48"/>
        <v>0</v>
      </c>
    </row>
    <row r="349" spans="2:15" s="61" customFormat="1" ht="19" customHeight="1" x14ac:dyDescent="0.2">
      <c r="B349" s="24"/>
      <c r="C349" s="24"/>
      <c r="D349" s="36"/>
      <c r="E349" s="24"/>
      <c r="F349" s="77" t="str">
        <f t="shared" si="41"/>
        <v/>
      </c>
      <c r="G349" s="24"/>
      <c r="I349" s="78">
        <f t="shared" si="42"/>
        <v>0</v>
      </c>
      <c r="J349" s="78">
        <f t="shared" si="43"/>
        <v>0</v>
      </c>
      <c r="K349" s="78">
        <f t="shared" si="44"/>
        <v>0</v>
      </c>
      <c r="L349" s="78">
        <f t="shared" si="45"/>
        <v>0</v>
      </c>
      <c r="M349" s="78">
        <f t="shared" si="46"/>
        <v>0</v>
      </c>
      <c r="N349" s="78">
        <f t="shared" si="47"/>
        <v>0</v>
      </c>
      <c r="O349" s="79">
        <f t="shared" si="48"/>
        <v>0</v>
      </c>
    </row>
    <row r="350" spans="2:15" s="61" customFormat="1" ht="19" customHeight="1" x14ac:dyDescent="0.2">
      <c r="B350" s="24"/>
      <c r="C350" s="24"/>
      <c r="D350" s="36"/>
      <c r="E350" s="24"/>
      <c r="F350" s="77" t="str">
        <f t="shared" si="41"/>
        <v/>
      </c>
      <c r="G350" s="24"/>
      <c r="I350" s="78">
        <f t="shared" si="42"/>
        <v>0</v>
      </c>
      <c r="J350" s="78">
        <f t="shared" si="43"/>
        <v>0</v>
      </c>
      <c r="K350" s="78">
        <f t="shared" si="44"/>
        <v>0</v>
      </c>
      <c r="L350" s="78">
        <f t="shared" si="45"/>
        <v>0</v>
      </c>
      <c r="M350" s="78">
        <f t="shared" si="46"/>
        <v>0</v>
      </c>
      <c r="N350" s="78">
        <f t="shared" si="47"/>
        <v>0</v>
      </c>
      <c r="O350" s="79">
        <f t="shared" si="48"/>
        <v>0</v>
      </c>
    </row>
    <row r="351" spans="2:15" s="61" customFormat="1" ht="19" customHeight="1" x14ac:dyDescent="0.2">
      <c r="B351" s="24"/>
      <c r="C351" s="24"/>
      <c r="D351" s="36"/>
      <c r="E351" s="24"/>
      <c r="F351" s="77" t="str">
        <f t="shared" si="41"/>
        <v/>
      </c>
      <c r="G351" s="24"/>
      <c r="I351" s="78">
        <f t="shared" si="42"/>
        <v>0</v>
      </c>
      <c r="J351" s="78">
        <f t="shared" si="43"/>
        <v>0</v>
      </c>
      <c r="K351" s="78">
        <f t="shared" si="44"/>
        <v>0</v>
      </c>
      <c r="L351" s="78">
        <f t="shared" si="45"/>
        <v>0</v>
      </c>
      <c r="M351" s="78">
        <f t="shared" si="46"/>
        <v>0</v>
      </c>
      <c r="N351" s="78">
        <f t="shared" si="47"/>
        <v>0</v>
      </c>
      <c r="O351" s="79">
        <f t="shared" si="48"/>
        <v>0</v>
      </c>
    </row>
    <row r="352" spans="2:15" s="61" customFormat="1" ht="19" customHeight="1" x14ac:dyDescent="0.2">
      <c r="B352" s="24"/>
      <c r="C352" s="24"/>
      <c r="D352" s="36"/>
      <c r="E352" s="24"/>
      <c r="F352" s="77" t="str">
        <f t="shared" si="41"/>
        <v/>
      </c>
      <c r="G352" s="24"/>
      <c r="I352" s="78">
        <f t="shared" si="42"/>
        <v>0</v>
      </c>
      <c r="J352" s="78">
        <f t="shared" si="43"/>
        <v>0</v>
      </c>
      <c r="K352" s="78">
        <f t="shared" si="44"/>
        <v>0</v>
      </c>
      <c r="L352" s="78">
        <f t="shared" si="45"/>
        <v>0</v>
      </c>
      <c r="M352" s="78">
        <f t="shared" si="46"/>
        <v>0</v>
      </c>
      <c r="N352" s="78">
        <f t="shared" si="47"/>
        <v>0</v>
      </c>
      <c r="O352" s="79">
        <f t="shared" si="48"/>
        <v>0</v>
      </c>
    </row>
    <row r="353" spans="2:15" s="61" customFormat="1" ht="19" customHeight="1" x14ac:dyDescent="0.2">
      <c r="B353" s="24"/>
      <c r="C353" s="24"/>
      <c r="D353" s="36"/>
      <c r="E353" s="24"/>
      <c r="F353" s="77" t="str">
        <f t="shared" si="41"/>
        <v/>
      </c>
      <c r="G353" s="24"/>
      <c r="I353" s="78">
        <f t="shared" si="42"/>
        <v>0</v>
      </c>
      <c r="J353" s="78">
        <f t="shared" si="43"/>
        <v>0</v>
      </c>
      <c r="K353" s="78">
        <f t="shared" si="44"/>
        <v>0</v>
      </c>
      <c r="L353" s="78">
        <f t="shared" si="45"/>
        <v>0</v>
      </c>
      <c r="M353" s="78">
        <f t="shared" si="46"/>
        <v>0</v>
      </c>
      <c r="N353" s="78">
        <f t="shared" si="47"/>
        <v>0</v>
      </c>
      <c r="O353" s="79">
        <f t="shared" si="48"/>
        <v>0</v>
      </c>
    </row>
    <row r="354" spans="2:15" s="61" customFormat="1" ht="19" customHeight="1" x14ac:dyDescent="0.2">
      <c r="B354" s="24"/>
      <c r="C354" s="24"/>
      <c r="D354" s="36"/>
      <c r="E354" s="24"/>
      <c r="F354" s="77" t="str">
        <f t="shared" si="41"/>
        <v/>
      </c>
      <c r="G354" s="24"/>
      <c r="I354" s="78">
        <f t="shared" si="42"/>
        <v>0</v>
      </c>
      <c r="J354" s="78">
        <f t="shared" si="43"/>
        <v>0</v>
      </c>
      <c r="K354" s="78">
        <f t="shared" si="44"/>
        <v>0</v>
      </c>
      <c r="L354" s="78">
        <f t="shared" si="45"/>
        <v>0</v>
      </c>
      <c r="M354" s="78">
        <f t="shared" si="46"/>
        <v>0</v>
      </c>
      <c r="N354" s="78">
        <f t="shared" si="47"/>
        <v>0</v>
      </c>
      <c r="O354" s="79">
        <f t="shared" si="48"/>
        <v>0</v>
      </c>
    </row>
    <row r="355" spans="2:15" s="61" customFormat="1" ht="19" customHeight="1" x14ac:dyDescent="0.2">
      <c r="B355" s="24"/>
      <c r="C355" s="24"/>
      <c r="D355" s="36"/>
      <c r="E355" s="24"/>
      <c r="F355" s="77" t="str">
        <f t="shared" si="41"/>
        <v/>
      </c>
      <c r="G355" s="24"/>
      <c r="I355" s="78">
        <f t="shared" si="42"/>
        <v>0</v>
      </c>
      <c r="J355" s="78">
        <f t="shared" si="43"/>
        <v>0</v>
      </c>
      <c r="K355" s="78">
        <f t="shared" si="44"/>
        <v>0</v>
      </c>
      <c r="L355" s="78">
        <f t="shared" si="45"/>
        <v>0</v>
      </c>
      <c r="M355" s="78">
        <f t="shared" si="46"/>
        <v>0</v>
      </c>
      <c r="N355" s="78">
        <f t="shared" si="47"/>
        <v>0</v>
      </c>
      <c r="O355" s="79">
        <f t="shared" si="48"/>
        <v>0</v>
      </c>
    </row>
    <row r="356" spans="2:15" s="61" customFormat="1" ht="19" customHeight="1" x14ac:dyDescent="0.2">
      <c r="B356" s="24"/>
      <c r="C356" s="24"/>
      <c r="D356" s="36"/>
      <c r="E356" s="24"/>
      <c r="F356" s="77" t="str">
        <f t="shared" si="41"/>
        <v/>
      </c>
      <c r="G356" s="24"/>
      <c r="I356" s="78">
        <f t="shared" si="42"/>
        <v>0</v>
      </c>
      <c r="J356" s="78">
        <f t="shared" si="43"/>
        <v>0</v>
      </c>
      <c r="K356" s="78">
        <f t="shared" si="44"/>
        <v>0</v>
      </c>
      <c r="L356" s="78">
        <f t="shared" si="45"/>
        <v>0</v>
      </c>
      <c r="M356" s="78">
        <f t="shared" si="46"/>
        <v>0</v>
      </c>
      <c r="N356" s="78">
        <f t="shared" si="47"/>
        <v>0</v>
      </c>
      <c r="O356" s="79">
        <f t="shared" si="48"/>
        <v>0</v>
      </c>
    </row>
    <row r="357" spans="2:15" s="61" customFormat="1" ht="19" customHeight="1" x14ac:dyDescent="0.2">
      <c r="B357" s="24"/>
      <c r="C357" s="24"/>
      <c r="D357" s="36"/>
      <c r="E357" s="24"/>
      <c r="F357" s="77" t="str">
        <f t="shared" si="41"/>
        <v/>
      </c>
      <c r="G357" s="24"/>
      <c r="I357" s="78">
        <f t="shared" si="42"/>
        <v>0</v>
      </c>
      <c r="J357" s="78">
        <f t="shared" si="43"/>
        <v>0</v>
      </c>
      <c r="K357" s="78">
        <f t="shared" si="44"/>
        <v>0</v>
      </c>
      <c r="L357" s="78">
        <f t="shared" si="45"/>
        <v>0</v>
      </c>
      <c r="M357" s="78">
        <f t="shared" si="46"/>
        <v>0</v>
      </c>
      <c r="N357" s="78">
        <f t="shared" si="47"/>
        <v>0</v>
      </c>
      <c r="O357" s="79">
        <f t="shared" si="48"/>
        <v>0</v>
      </c>
    </row>
    <row r="358" spans="2:15" s="61" customFormat="1" ht="19" customHeight="1" x14ac:dyDescent="0.2">
      <c r="B358" s="24"/>
      <c r="C358" s="24"/>
      <c r="D358" s="36"/>
      <c r="E358" s="24"/>
      <c r="F358" s="77" t="str">
        <f t="shared" si="41"/>
        <v/>
      </c>
      <c r="G358" s="24"/>
      <c r="I358" s="78">
        <f t="shared" si="42"/>
        <v>0</v>
      </c>
      <c r="J358" s="78">
        <f t="shared" si="43"/>
        <v>0</v>
      </c>
      <c r="K358" s="78">
        <f t="shared" si="44"/>
        <v>0</v>
      </c>
      <c r="L358" s="78">
        <f t="shared" si="45"/>
        <v>0</v>
      </c>
      <c r="M358" s="78">
        <f t="shared" si="46"/>
        <v>0</v>
      </c>
      <c r="N358" s="78">
        <f t="shared" si="47"/>
        <v>0</v>
      </c>
      <c r="O358" s="79">
        <f t="shared" si="48"/>
        <v>0</v>
      </c>
    </row>
    <row r="359" spans="2:15" s="61" customFormat="1" ht="19" customHeight="1" x14ac:dyDescent="0.2">
      <c r="B359" s="24"/>
      <c r="C359" s="24"/>
      <c r="D359" s="36"/>
      <c r="E359" s="24"/>
      <c r="F359" s="77" t="str">
        <f t="shared" si="41"/>
        <v/>
      </c>
      <c r="G359" s="24"/>
      <c r="I359" s="78">
        <f t="shared" si="42"/>
        <v>0</v>
      </c>
      <c r="J359" s="78">
        <f t="shared" si="43"/>
        <v>0</v>
      </c>
      <c r="K359" s="78">
        <f t="shared" si="44"/>
        <v>0</v>
      </c>
      <c r="L359" s="78">
        <f t="shared" si="45"/>
        <v>0</v>
      </c>
      <c r="M359" s="78">
        <f t="shared" si="46"/>
        <v>0</v>
      </c>
      <c r="N359" s="78">
        <f t="shared" si="47"/>
        <v>0</v>
      </c>
      <c r="O359" s="79">
        <f t="shared" si="48"/>
        <v>0</v>
      </c>
    </row>
    <row r="360" spans="2:15" s="61" customFormat="1" ht="19" customHeight="1" x14ac:dyDescent="0.2">
      <c r="B360" s="24"/>
      <c r="C360" s="24"/>
      <c r="D360" s="36"/>
      <c r="E360" s="24"/>
      <c r="F360" s="77" t="str">
        <f t="shared" si="41"/>
        <v/>
      </c>
      <c r="G360" s="24"/>
      <c r="I360" s="78">
        <f t="shared" si="42"/>
        <v>0</v>
      </c>
      <c r="J360" s="78">
        <f t="shared" si="43"/>
        <v>0</v>
      </c>
      <c r="K360" s="78">
        <f t="shared" si="44"/>
        <v>0</v>
      </c>
      <c r="L360" s="78">
        <f t="shared" si="45"/>
        <v>0</v>
      </c>
      <c r="M360" s="78">
        <f t="shared" si="46"/>
        <v>0</v>
      </c>
      <c r="N360" s="78">
        <f t="shared" si="47"/>
        <v>0</v>
      </c>
      <c r="O360" s="79">
        <f t="shared" si="48"/>
        <v>0</v>
      </c>
    </row>
    <row r="361" spans="2:15" s="61" customFormat="1" ht="19" customHeight="1" x14ac:dyDescent="0.2">
      <c r="B361" s="24"/>
      <c r="C361" s="24"/>
      <c r="D361" s="36"/>
      <c r="E361" s="24"/>
      <c r="F361" s="77" t="str">
        <f t="shared" si="41"/>
        <v/>
      </c>
      <c r="G361" s="24"/>
      <c r="I361" s="78">
        <f t="shared" si="42"/>
        <v>0</v>
      </c>
      <c r="J361" s="78">
        <f t="shared" si="43"/>
        <v>0</v>
      </c>
      <c r="K361" s="78">
        <f t="shared" si="44"/>
        <v>0</v>
      </c>
      <c r="L361" s="78">
        <f t="shared" si="45"/>
        <v>0</v>
      </c>
      <c r="M361" s="78">
        <f t="shared" si="46"/>
        <v>0</v>
      </c>
      <c r="N361" s="78">
        <f t="shared" si="47"/>
        <v>0</v>
      </c>
      <c r="O361" s="79">
        <f t="shared" si="48"/>
        <v>0</v>
      </c>
    </row>
    <row r="362" spans="2:15" s="61" customFormat="1" ht="19" customHeight="1" x14ac:dyDescent="0.2">
      <c r="B362" s="24"/>
      <c r="C362" s="24"/>
      <c r="D362" s="36"/>
      <c r="E362" s="24"/>
      <c r="F362" s="77" t="str">
        <f t="shared" si="41"/>
        <v/>
      </c>
      <c r="G362" s="24"/>
      <c r="I362" s="78">
        <f t="shared" si="42"/>
        <v>0</v>
      </c>
      <c r="J362" s="78">
        <f t="shared" si="43"/>
        <v>0</v>
      </c>
      <c r="K362" s="78">
        <f t="shared" si="44"/>
        <v>0</v>
      </c>
      <c r="L362" s="78">
        <f t="shared" si="45"/>
        <v>0</v>
      </c>
      <c r="M362" s="78">
        <f t="shared" si="46"/>
        <v>0</v>
      </c>
      <c r="N362" s="78">
        <f t="shared" si="47"/>
        <v>0</v>
      </c>
      <c r="O362" s="79">
        <f t="shared" si="48"/>
        <v>0</v>
      </c>
    </row>
    <row r="363" spans="2:15" s="61" customFormat="1" ht="19" customHeight="1" x14ac:dyDescent="0.2">
      <c r="B363" s="24"/>
      <c r="C363" s="24"/>
      <c r="D363" s="36"/>
      <c r="E363" s="24"/>
      <c r="F363" s="77" t="str">
        <f t="shared" si="41"/>
        <v/>
      </c>
      <c r="G363" s="24"/>
      <c r="I363" s="78">
        <f t="shared" si="42"/>
        <v>0</v>
      </c>
      <c r="J363" s="78">
        <f t="shared" si="43"/>
        <v>0</v>
      </c>
      <c r="K363" s="78">
        <f t="shared" si="44"/>
        <v>0</v>
      </c>
      <c r="L363" s="78">
        <f t="shared" si="45"/>
        <v>0</v>
      </c>
      <c r="M363" s="78">
        <f t="shared" si="46"/>
        <v>0</v>
      </c>
      <c r="N363" s="78">
        <f t="shared" si="47"/>
        <v>0</v>
      </c>
      <c r="O363" s="79">
        <f t="shared" si="48"/>
        <v>0</v>
      </c>
    </row>
    <row r="364" spans="2:15" s="61" customFormat="1" ht="19" customHeight="1" x14ac:dyDescent="0.2">
      <c r="B364" s="24"/>
      <c r="C364" s="24"/>
      <c r="D364" s="36"/>
      <c r="E364" s="24"/>
      <c r="F364" s="77" t="str">
        <f t="shared" si="41"/>
        <v/>
      </c>
      <c r="G364" s="24"/>
      <c r="I364" s="78">
        <f t="shared" si="42"/>
        <v>0</v>
      </c>
      <c r="J364" s="78">
        <f t="shared" si="43"/>
        <v>0</v>
      </c>
      <c r="K364" s="78">
        <f t="shared" si="44"/>
        <v>0</v>
      </c>
      <c r="L364" s="78">
        <f t="shared" si="45"/>
        <v>0</v>
      </c>
      <c r="M364" s="78">
        <f t="shared" si="46"/>
        <v>0</v>
      </c>
      <c r="N364" s="78">
        <f t="shared" si="47"/>
        <v>0</v>
      </c>
      <c r="O364" s="79">
        <f t="shared" si="48"/>
        <v>0</v>
      </c>
    </row>
    <row r="365" spans="2:15" s="61" customFormat="1" ht="19" customHeight="1" x14ac:dyDescent="0.2">
      <c r="B365" s="24"/>
      <c r="C365" s="24"/>
      <c r="D365" s="36"/>
      <c r="E365" s="24"/>
      <c r="F365" s="77" t="str">
        <f t="shared" si="41"/>
        <v/>
      </c>
      <c r="G365" s="24"/>
      <c r="I365" s="78">
        <f t="shared" si="42"/>
        <v>0</v>
      </c>
      <c r="J365" s="78">
        <f t="shared" si="43"/>
        <v>0</v>
      </c>
      <c r="K365" s="78">
        <f t="shared" si="44"/>
        <v>0</v>
      </c>
      <c r="L365" s="78">
        <f t="shared" si="45"/>
        <v>0</v>
      </c>
      <c r="M365" s="78">
        <f t="shared" si="46"/>
        <v>0</v>
      </c>
      <c r="N365" s="78">
        <f t="shared" si="47"/>
        <v>0</v>
      </c>
      <c r="O365" s="79">
        <f t="shared" si="48"/>
        <v>0</v>
      </c>
    </row>
    <row r="366" spans="2:15" s="61" customFormat="1" ht="19" customHeight="1" x14ac:dyDescent="0.2">
      <c r="B366" s="24"/>
      <c r="C366" s="24"/>
      <c r="D366" s="36"/>
      <c r="E366" s="24"/>
      <c r="F366" s="77" t="str">
        <f t="shared" si="41"/>
        <v/>
      </c>
      <c r="G366" s="24"/>
      <c r="I366" s="78">
        <f t="shared" si="42"/>
        <v>0</v>
      </c>
      <c r="J366" s="78">
        <f t="shared" si="43"/>
        <v>0</v>
      </c>
      <c r="K366" s="78">
        <f t="shared" si="44"/>
        <v>0</v>
      </c>
      <c r="L366" s="78">
        <f t="shared" si="45"/>
        <v>0</v>
      </c>
      <c r="M366" s="78">
        <f t="shared" si="46"/>
        <v>0</v>
      </c>
      <c r="N366" s="78">
        <f t="shared" si="47"/>
        <v>0</v>
      </c>
      <c r="O366" s="79">
        <f t="shared" si="48"/>
        <v>0</v>
      </c>
    </row>
    <row r="367" spans="2:15" s="61" customFormat="1" ht="19" customHeight="1" x14ac:dyDescent="0.2">
      <c r="B367" s="24"/>
      <c r="C367" s="24"/>
      <c r="D367" s="36"/>
      <c r="E367" s="24"/>
      <c r="F367" s="77" t="str">
        <f t="shared" si="41"/>
        <v/>
      </c>
      <c r="G367" s="24"/>
      <c r="I367" s="78">
        <f t="shared" si="42"/>
        <v>0</v>
      </c>
      <c r="J367" s="78">
        <f t="shared" si="43"/>
        <v>0</v>
      </c>
      <c r="K367" s="78">
        <f t="shared" si="44"/>
        <v>0</v>
      </c>
      <c r="L367" s="78">
        <f t="shared" si="45"/>
        <v>0</v>
      </c>
      <c r="M367" s="78">
        <f t="shared" si="46"/>
        <v>0</v>
      </c>
      <c r="N367" s="78">
        <f t="shared" si="47"/>
        <v>0</v>
      </c>
      <c r="O367" s="79">
        <f t="shared" si="48"/>
        <v>0</v>
      </c>
    </row>
    <row r="368" spans="2:15" s="61" customFormat="1" ht="19" customHeight="1" x14ac:dyDescent="0.2">
      <c r="B368" s="24"/>
      <c r="C368" s="24"/>
      <c r="D368" s="36"/>
      <c r="E368" s="24"/>
      <c r="F368" s="77" t="str">
        <f t="shared" si="41"/>
        <v/>
      </c>
      <c r="G368" s="24"/>
      <c r="I368" s="78">
        <f t="shared" si="42"/>
        <v>0</v>
      </c>
      <c r="J368" s="78">
        <f t="shared" si="43"/>
        <v>0</v>
      </c>
      <c r="K368" s="78">
        <f t="shared" si="44"/>
        <v>0</v>
      </c>
      <c r="L368" s="78">
        <f t="shared" si="45"/>
        <v>0</v>
      </c>
      <c r="M368" s="78">
        <f t="shared" si="46"/>
        <v>0</v>
      </c>
      <c r="N368" s="78">
        <f t="shared" si="47"/>
        <v>0</v>
      </c>
      <c r="O368" s="79">
        <f t="shared" si="48"/>
        <v>0</v>
      </c>
    </row>
    <row r="369" spans="2:15" s="61" customFormat="1" ht="19" customHeight="1" x14ac:dyDescent="0.2">
      <c r="B369" s="24"/>
      <c r="C369" s="24"/>
      <c r="D369" s="36"/>
      <c r="E369" s="24"/>
      <c r="F369" s="77" t="str">
        <f t="shared" si="41"/>
        <v/>
      </c>
      <c r="G369" s="24"/>
      <c r="I369" s="78">
        <f t="shared" si="42"/>
        <v>0</v>
      </c>
      <c r="J369" s="78">
        <f t="shared" si="43"/>
        <v>0</v>
      </c>
      <c r="K369" s="78">
        <f t="shared" si="44"/>
        <v>0</v>
      </c>
      <c r="L369" s="78">
        <f t="shared" si="45"/>
        <v>0</v>
      </c>
      <c r="M369" s="78">
        <f t="shared" si="46"/>
        <v>0</v>
      </c>
      <c r="N369" s="78">
        <f t="shared" si="47"/>
        <v>0</v>
      </c>
      <c r="O369" s="79">
        <f t="shared" si="48"/>
        <v>0</v>
      </c>
    </row>
    <row r="370" spans="2:15" s="61" customFormat="1" ht="19" customHeight="1" x14ac:dyDescent="0.2">
      <c r="B370" s="24"/>
      <c r="C370" s="24"/>
      <c r="D370" s="36"/>
      <c r="E370" s="24"/>
      <c r="F370" s="77" t="str">
        <f t="shared" si="41"/>
        <v/>
      </c>
      <c r="G370" s="24"/>
      <c r="I370" s="78">
        <f t="shared" si="42"/>
        <v>0</v>
      </c>
      <c r="J370" s="78">
        <f t="shared" si="43"/>
        <v>0</v>
      </c>
      <c r="K370" s="78">
        <f t="shared" si="44"/>
        <v>0</v>
      </c>
      <c r="L370" s="78">
        <f t="shared" si="45"/>
        <v>0</v>
      </c>
      <c r="M370" s="78">
        <f t="shared" si="46"/>
        <v>0</v>
      </c>
      <c r="N370" s="78">
        <f t="shared" si="47"/>
        <v>0</v>
      </c>
      <c r="O370" s="79">
        <f t="shared" si="48"/>
        <v>0</v>
      </c>
    </row>
    <row r="371" spans="2:15" s="61" customFormat="1" ht="19" customHeight="1" x14ac:dyDescent="0.2">
      <c r="B371" s="24"/>
      <c r="C371" s="24"/>
      <c r="D371" s="36"/>
      <c r="E371" s="24"/>
      <c r="F371" s="77" t="str">
        <f t="shared" si="41"/>
        <v/>
      </c>
      <c r="G371" s="24"/>
      <c r="I371" s="78">
        <f t="shared" si="42"/>
        <v>0</v>
      </c>
      <c r="J371" s="78">
        <f t="shared" si="43"/>
        <v>0</v>
      </c>
      <c r="K371" s="78">
        <f t="shared" si="44"/>
        <v>0</v>
      </c>
      <c r="L371" s="78">
        <f t="shared" si="45"/>
        <v>0</v>
      </c>
      <c r="M371" s="78">
        <f t="shared" si="46"/>
        <v>0</v>
      </c>
      <c r="N371" s="78">
        <f t="shared" si="47"/>
        <v>0</v>
      </c>
      <c r="O371" s="79">
        <f t="shared" si="48"/>
        <v>0</v>
      </c>
    </row>
    <row r="372" spans="2:15" s="61" customFormat="1" ht="19" customHeight="1" x14ac:dyDescent="0.2">
      <c r="B372" s="24"/>
      <c r="C372" s="24"/>
      <c r="D372" s="36"/>
      <c r="E372" s="24"/>
      <c r="F372" s="77" t="str">
        <f t="shared" si="41"/>
        <v/>
      </c>
      <c r="G372" s="24"/>
      <c r="I372" s="78">
        <f t="shared" si="42"/>
        <v>0</v>
      </c>
      <c r="J372" s="78">
        <f t="shared" si="43"/>
        <v>0</v>
      </c>
      <c r="K372" s="78">
        <f t="shared" si="44"/>
        <v>0</v>
      </c>
      <c r="L372" s="78">
        <f t="shared" si="45"/>
        <v>0</v>
      </c>
      <c r="M372" s="78">
        <f t="shared" si="46"/>
        <v>0</v>
      </c>
      <c r="N372" s="78">
        <f t="shared" si="47"/>
        <v>0</v>
      </c>
      <c r="O372" s="79">
        <f t="shared" si="48"/>
        <v>0</v>
      </c>
    </row>
    <row r="373" spans="2:15" s="61" customFormat="1" ht="19" customHeight="1" x14ac:dyDescent="0.2">
      <c r="B373" s="24"/>
      <c r="C373" s="24"/>
      <c r="D373" s="36"/>
      <c r="E373" s="24"/>
      <c r="F373" s="77" t="str">
        <f t="shared" si="41"/>
        <v/>
      </c>
      <c r="G373" s="24"/>
      <c r="I373" s="78">
        <f t="shared" si="42"/>
        <v>0</v>
      </c>
      <c r="J373" s="78">
        <f t="shared" si="43"/>
        <v>0</v>
      </c>
      <c r="K373" s="78">
        <f t="shared" si="44"/>
        <v>0</v>
      </c>
      <c r="L373" s="78">
        <f t="shared" si="45"/>
        <v>0</v>
      </c>
      <c r="M373" s="78">
        <f t="shared" si="46"/>
        <v>0</v>
      </c>
      <c r="N373" s="78">
        <f t="shared" si="47"/>
        <v>0</v>
      </c>
      <c r="O373" s="79">
        <f t="shared" si="48"/>
        <v>0</v>
      </c>
    </row>
    <row r="374" spans="2:15" s="61" customFormat="1" ht="19" customHeight="1" x14ac:dyDescent="0.2">
      <c r="B374" s="24"/>
      <c r="C374" s="24"/>
      <c r="D374" s="36"/>
      <c r="E374" s="24"/>
      <c r="F374" s="77" t="str">
        <f t="shared" si="41"/>
        <v/>
      </c>
      <c r="G374" s="24"/>
      <c r="I374" s="78">
        <f t="shared" si="42"/>
        <v>0</v>
      </c>
      <c r="J374" s="78">
        <f t="shared" si="43"/>
        <v>0</v>
      </c>
      <c r="K374" s="78">
        <f t="shared" si="44"/>
        <v>0</v>
      </c>
      <c r="L374" s="78">
        <f t="shared" si="45"/>
        <v>0</v>
      </c>
      <c r="M374" s="78">
        <f t="shared" si="46"/>
        <v>0</v>
      </c>
      <c r="N374" s="78">
        <f t="shared" si="47"/>
        <v>0</v>
      </c>
      <c r="O374" s="79">
        <f t="shared" si="48"/>
        <v>0</v>
      </c>
    </row>
    <row r="375" spans="2:15" s="61" customFormat="1" ht="19" customHeight="1" x14ac:dyDescent="0.2">
      <c r="B375" s="24"/>
      <c r="C375" s="24"/>
      <c r="D375" s="36"/>
      <c r="E375" s="24"/>
      <c r="F375" s="77" t="str">
        <f t="shared" si="41"/>
        <v/>
      </c>
      <c r="G375" s="24"/>
      <c r="I375" s="78">
        <f t="shared" si="42"/>
        <v>0</v>
      </c>
      <c r="J375" s="78">
        <f t="shared" si="43"/>
        <v>0</v>
      </c>
      <c r="K375" s="78">
        <f t="shared" si="44"/>
        <v>0</v>
      </c>
      <c r="L375" s="78">
        <f t="shared" si="45"/>
        <v>0</v>
      </c>
      <c r="M375" s="78">
        <f t="shared" si="46"/>
        <v>0</v>
      </c>
      <c r="N375" s="78">
        <f t="shared" si="47"/>
        <v>0</v>
      </c>
      <c r="O375" s="79">
        <f t="shared" si="48"/>
        <v>0</v>
      </c>
    </row>
    <row r="376" spans="2:15" s="61" customFormat="1" ht="19" customHeight="1" x14ac:dyDescent="0.2">
      <c r="B376" s="24"/>
      <c r="C376" s="24"/>
      <c r="D376" s="36"/>
      <c r="E376" s="24"/>
      <c r="F376" s="77" t="str">
        <f t="shared" si="41"/>
        <v/>
      </c>
      <c r="G376" s="24"/>
      <c r="I376" s="78">
        <f t="shared" si="42"/>
        <v>0</v>
      </c>
      <c r="J376" s="78">
        <f t="shared" si="43"/>
        <v>0</v>
      </c>
      <c r="K376" s="78">
        <f t="shared" si="44"/>
        <v>0</v>
      </c>
      <c r="L376" s="78">
        <f t="shared" si="45"/>
        <v>0</v>
      </c>
      <c r="M376" s="78">
        <f t="shared" si="46"/>
        <v>0</v>
      </c>
      <c r="N376" s="78">
        <f t="shared" si="47"/>
        <v>0</v>
      </c>
      <c r="O376" s="79">
        <f t="shared" si="48"/>
        <v>0</v>
      </c>
    </row>
    <row r="377" spans="2:15" s="61" customFormat="1" ht="19" customHeight="1" x14ac:dyDescent="0.2">
      <c r="B377" s="24"/>
      <c r="C377" s="24"/>
      <c r="D377" s="36"/>
      <c r="E377" s="24"/>
      <c r="F377" s="77" t="str">
        <f t="shared" si="41"/>
        <v/>
      </c>
      <c r="G377" s="24"/>
      <c r="I377" s="78">
        <f t="shared" si="42"/>
        <v>0</v>
      </c>
      <c r="J377" s="78">
        <f t="shared" si="43"/>
        <v>0</v>
      </c>
      <c r="K377" s="78">
        <f t="shared" si="44"/>
        <v>0</v>
      </c>
      <c r="L377" s="78">
        <f t="shared" si="45"/>
        <v>0</v>
      </c>
      <c r="M377" s="78">
        <f t="shared" si="46"/>
        <v>0</v>
      </c>
      <c r="N377" s="78">
        <f t="shared" si="47"/>
        <v>0</v>
      </c>
      <c r="O377" s="79">
        <f t="shared" si="48"/>
        <v>0</v>
      </c>
    </row>
    <row r="378" spans="2:15" s="61" customFormat="1" ht="19" customHeight="1" x14ac:dyDescent="0.2">
      <c r="B378" s="24"/>
      <c r="C378" s="24"/>
      <c r="D378" s="36"/>
      <c r="E378" s="24"/>
      <c r="F378" s="77" t="str">
        <f t="shared" si="41"/>
        <v/>
      </c>
      <c r="G378" s="24"/>
      <c r="I378" s="78">
        <f t="shared" si="42"/>
        <v>0</v>
      </c>
      <c r="J378" s="78">
        <f t="shared" si="43"/>
        <v>0</v>
      </c>
      <c r="K378" s="78">
        <f t="shared" si="44"/>
        <v>0</v>
      </c>
      <c r="L378" s="78">
        <f t="shared" si="45"/>
        <v>0</v>
      </c>
      <c r="M378" s="78">
        <f t="shared" si="46"/>
        <v>0</v>
      </c>
      <c r="N378" s="78">
        <f t="shared" si="47"/>
        <v>0</v>
      </c>
      <c r="O378" s="79">
        <f t="shared" si="48"/>
        <v>0</v>
      </c>
    </row>
    <row r="379" spans="2:15" s="61" customFormat="1" ht="19" customHeight="1" x14ac:dyDescent="0.2">
      <c r="B379" s="24"/>
      <c r="C379" s="24"/>
      <c r="D379" s="36"/>
      <c r="E379" s="24"/>
      <c r="F379" s="77" t="str">
        <f t="shared" si="41"/>
        <v/>
      </c>
      <c r="G379" s="24"/>
      <c r="I379" s="78">
        <f t="shared" si="42"/>
        <v>0</v>
      </c>
      <c r="J379" s="78">
        <f t="shared" si="43"/>
        <v>0</v>
      </c>
      <c r="K379" s="78">
        <f t="shared" si="44"/>
        <v>0</v>
      </c>
      <c r="L379" s="78">
        <f t="shared" si="45"/>
        <v>0</v>
      </c>
      <c r="M379" s="78">
        <f t="shared" si="46"/>
        <v>0</v>
      </c>
      <c r="N379" s="78">
        <f t="shared" si="47"/>
        <v>0</v>
      </c>
      <c r="O379" s="79">
        <f t="shared" si="48"/>
        <v>0</v>
      </c>
    </row>
    <row r="380" spans="2:15" s="61" customFormat="1" ht="19" customHeight="1" x14ac:dyDescent="0.2">
      <c r="B380" s="24"/>
      <c r="C380" s="24"/>
      <c r="D380" s="36"/>
      <c r="E380" s="24"/>
      <c r="F380" s="77" t="str">
        <f t="shared" si="41"/>
        <v/>
      </c>
      <c r="G380" s="24"/>
      <c r="I380" s="78">
        <f t="shared" si="42"/>
        <v>0</v>
      </c>
      <c r="J380" s="78">
        <f t="shared" si="43"/>
        <v>0</v>
      </c>
      <c r="K380" s="78">
        <f t="shared" si="44"/>
        <v>0</v>
      </c>
      <c r="L380" s="78">
        <f t="shared" si="45"/>
        <v>0</v>
      </c>
      <c r="M380" s="78">
        <f t="shared" si="46"/>
        <v>0</v>
      </c>
      <c r="N380" s="78">
        <f t="shared" si="47"/>
        <v>0</v>
      </c>
      <c r="O380" s="79">
        <f t="shared" si="48"/>
        <v>0</v>
      </c>
    </row>
    <row r="381" spans="2:15" s="61" customFormat="1" ht="19" customHeight="1" x14ac:dyDescent="0.2">
      <c r="B381" s="24"/>
      <c r="C381" s="24"/>
      <c r="D381" s="36"/>
      <c r="E381" s="24"/>
      <c r="F381" s="77" t="str">
        <f t="shared" si="41"/>
        <v/>
      </c>
      <c r="G381" s="24"/>
      <c r="I381" s="78">
        <f t="shared" si="42"/>
        <v>0</v>
      </c>
      <c r="J381" s="78">
        <f t="shared" si="43"/>
        <v>0</v>
      </c>
      <c r="K381" s="78">
        <f t="shared" si="44"/>
        <v>0</v>
      </c>
      <c r="L381" s="78">
        <f t="shared" si="45"/>
        <v>0</v>
      </c>
      <c r="M381" s="78">
        <f t="shared" si="46"/>
        <v>0</v>
      </c>
      <c r="N381" s="78">
        <f t="shared" si="47"/>
        <v>0</v>
      </c>
      <c r="O381" s="79">
        <f t="shared" si="48"/>
        <v>0</v>
      </c>
    </row>
    <row r="382" spans="2:15" s="61" customFormat="1" ht="19" customHeight="1" x14ac:dyDescent="0.2">
      <c r="B382" s="24"/>
      <c r="C382" s="24"/>
      <c r="D382" s="36"/>
      <c r="E382" s="24"/>
      <c r="F382" s="77" t="str">
        <f t="shared" si="41"/>
        <v/>
      </c>
      <c r="G382" s="24"/>
      <c r="I382" s="78">
        <f t="shared" si="42"/>
        <v>0</v>
      </c>
      <c r="J382" s="78">
        <f t="shared" si="43"/>
        <v>0</v>
      </c>
      <c r="K382" s="78">
        <f t="shared" si="44"/>
        <v>0</v>
      </c>
      <c r="L382" s="78">
        <f t="shared" si="45"/>
        <v>0</v>
      </c>
      <c r="M382" s="78">
        <f t="shared" si="46"/>
        <v>0</v>
      </c>
      <c r="N382" s="78">
        <f t="shared" si="47"/>
        <v>0</v>
      </c>
      <c r="O382" s="79">
        <f t="shared" si="48"/>
        <v>0</v>
      </c>
    </row>
    <row r="383" spans="2:15" s="61" customFormat="1" ht="19" customHeight="1" x14ac:dyDescent="0.2">
      <c r="B383" s="24"/>
      <c r="C383" s="24"/>
      <c r="D383" s="36"/>
      <c r="E383" s="24"/>
      <c r="F383" s="77" t="str">
        <f t="shared" si="41"/>
        <v/>
      </c>
      <c r="G383" s="24"/>
      <c r="I383" s="78">
        <f t="shared" si="42"/>
        <v>0</v>
      </c>
      <c r="J383" s="78">
        <f t="shared" si="43"/>
        <v>0</v>
      </c>
      <c r="K383" s="78">
        <f t="shared" si="44"/>
        <v>0</v>
      </c>
      <c r="L383" s="78">
        <f t="shared" si="45"/>
        <v>0</v>
      </c>
      <c r="M383" s="78">
        <f t="shared" si="46"/>
        <v>0</v>
      </c>
      <c r="N383" s="78">
        <f t="shared" si="47"/>
        <v>0</v>
      </c>
      <c r="O383" s="79">
        <f t="shared" si="48"/>
        <v>0</v>
      </c>
    </row>
    <row r="384" spans="2:15" s="61" customFormat="1" ht="19" customHeight="1" x14ac:dyDescent="0.2">
      <c r="B384" s="24"/>
      <c r="C384" s="24"/>
      <c r="D384" s="36"/>
      <c r="E384" s="24"/>
      <c r="F384" s="77" t="str">
        <f t="shared" si="41"/>
        <v/>
      </c>
      <c r="G384" s="24"/>
      <c r="I384" s="78">
        <f t="shared" si="42"/>
        <v>0</v>
      </c>
      <c r="J384" s="78">
        <f t="shared" si="43"/>
        <v>0</v>
      </c>
      <c r="K384" s="78">
        <f t="shared" si="44"/>
        <v>0</v>
      </c>
      <c r="L384" s="78">
        <f t="shared" si="45"/>
        <v>0</v>
      </c>
      <c r="M384" s="78">
        <f t="shared" si="46"/>
        <v>0</v>
      </c>
      <c r="N384" s="78">
        <f t="shared" si="47"/>
        <v>0</v>
      </c>
      <c r="O384" s="79">
        <f t="shared" si="48"/>
        <v>0</v>
      </c>
    </row>
    <row r="385" spans="2:15" s="61" customFormat="1" ht="19" customHeight="1" x14ac:dyDescent="0.2">
      <c r="B385" s="24"/>
      <c r="C385" s="24"/>
      <c r="D385" s="36"/>
      <c r="E385" s="24"/>
      <c r="F385" s="77" t="str">
        <f t="shared" si="41"/>
        <v/>
      </c>
      <c r="G385" s="24"/>
      <c r="I385" s="78">
        <f t="shared" si="42"/>
        <v>0</v>
      </c>
      <c r="J385" s="78">
        <f t="shared" si="43"/>
        <v>0</v>
      </c>
      <c r="K385" s="78">
        <f t="shared" si="44"/>
        <v>0</v>
      </c>
      <c r="L385" s="78">
        <f t="shared" si="45"/>
        <v>0</v>
      </c>
      <c r="M385" s="78">
        <f t="shared" si="46"/>
        <v>0</v>
      </c>
      <c r="N385" s="78">
        <f t="shared" si="47"/>
        <v>0</v>
      </c>
      <c r="O385" s="79">
        <f t="shared" si="48"/>
        <v>0</v>
      </c>
    </row>
    <row r="386" spans="2:15" s="61" customFormat="1" ht="19" customHeight="1" x14ac:dyDescent="0.2">
      <c r="B386" s="24"/>
      <c r="C386" s="24"/>
      <c r="D386" s="36"/>
      <c r="E386" s="24"/>
      <c r="F386" s="77" t="str">
        <f t="shared" si="41"/>
        <v/>
      </c>
      <c r="G386" s="24"/>
      <c r="I386" s="78">
        <f t="shared" si="42"/>
        <v>0</v>
      </c>
      <c r="J386" s="78">
        <f t="shared" si="43"/>
        <v>0</v>
      </c>
      <c r="K386" s="78">
        <f t="shared" si="44"/>
        <v>0</v>
      </c>
      <c r="L386" s="78">
        <f t="shared" si="45"/>
        <v>0</v>
      </c>
      <c r="M386" s="78">
        <f t="shared" si="46"/>
        <v>0</v>
      </c>
      <c r="N386" s="78">
        <f t="shared" si="47"/>
        <v>0</v>
      </c>
      <c r="O386" s="79">
        <f t="shared" si="48"/>
        <v>0</v>
      </c>
    </row>
    <row r="387" spans="2:15" s="61" customFormat="1" ht="19" customHeight="1" x14ac:dyDescent="0.2">
      <c r="B387" s="24"/>
      <c r="C387" s="24"/>
      <c r="D387" s="36"/>
      <c r="E387" s="24"/>
      <c r="F387" s="77" t="str">
        <f t="shared" si="41"/>
        <v/>
      </c>
      <c r="G387" s="24"/>
      <c r="I387" s="78">
        <f t="shared" si="42"/>
        <v>0</v>
      </c>
      <c r="J387" s="78">
        <f t="shared" si="43"/>
        <v>0</v>
      </c>
      <c r="K387" s="78">
        <f t="shared" si="44"/>
        <v>0</v>
      </c>
      <c r="L387" s="78">
        <f t="shared" si="45"/>
        <v>0</v>
      </c>
      <c r="M387" s="78">
        <f t="shared" si="46"/>
        <v>0</v>
      </c>
      <c r="N387" s="78">
        <f t="shared" si="47"/>
        <v>0</v>
      </c>
      <c r="O387" s="79">
        <f t="shared" si="48"/>
        <v>0</v>
      </c>
    </row>
    <row r="388" spans="2:15" s="61" customFormat="1" ht="19" customHeight="1" x14ac:dyDescent="0.2">
      <c r="B388" s="24"/>
      <c r="C388" s="24"/>
      <c r="D388" s="36"/>
      <c r="E388" s="24"/>
      <c r="F388" s="77" t="str">
        <f t="shared" si="41"/>
        <v/>
      </c>
      <c r="G388" s="24"/>
      <c r="I388" s="78">
        <f t="shared" si="42"/>
        <v>0</v>
      </c>
      <c r="J388" s="78">
        <f t="shared" si="43"/>
        <v>0</v>
      </c>
      <c r="K388" s="78">
        <f t="shared" si="44"/>
        <v>0</v>
      </c>
      <c r="L388" s="78">
        <f t="shared" si="45"/>
        <v>0</v>
      </c>
      <c r="M388" s="78">
        <f t="shared" si="46"/>
        <v>0</v>
      </c>
      <c r="N388" s="78">
        <f t="shared" si="47"/>
        <v>0</v>
      </c>
      <c r="O388" s="79">
        <f t="shared" si="48"/>
        <v>0</v>
      </c>
    </row>
    <row r="389" spans="2:15" s="61" customFormat="1" ht="19" customHeight="1" x14ac:dyDescent="0.2">
      <c r="B389" s="24"/>
      <c r="C389" s="24"/>
      <c r="D389" s="36"/>
      <c r="E389" s="24"/>
      <c r="F389" s="77" t="str">
        <f t="shared" si="41"/>
        <v/>
      </c>
      <c r="G389" s="24"/>
      <c r="I389" s="78">
        <f t="shared" si="42"/>
        <v>0</v>
      </c>
      <c r="J389" s="78">
        <f t="shared" si="43"/>
        <v>0</v>
      </c>
      <c r="K389" s="78">
        <f t="shared" si="44"/>
        <v>0</v>
      </c>
      <c r="L389" s="78">
        <f t="shared" si="45"/>
        <v>0</v>
      </c>
      <c r="M389" s="78">
        <f t="shared" si="46"/>
        <v>0</v>
      </c>
      <c r="N389" s="78">
        <f t="shared" si="47"/>
        <v>0</v>
      </c>
      <c r="O389" s="79">
        <f t="shared" si="48"/>
        <v>0</v>
      </c>
    </row>
    <row r="390" spans="2:15" s="61" customFormat="1" ht="19" customHeight="1" x14ac:dyDescent="0.2">
      <c r="B390" s="24"/>
      <c r="C390" s="24"/>
      <c r="D390" s="36"/>
      <c r="E390" s="24"/>
      <c r="F390" s="77" t="str">
        <f t="shared" si="41"/>
        <v/>
      </c>
      <c r="G390" s="24"/>
      <c r="I390" s="78">
        <f t="shared" si="42"/>
        <v>0</v>
      </c>
      <c r="J390" s="78">
        <f t="shared" si="43"/>
        <v>0</v>
      </c>
      <c r="K390" s="78">
        <f t="shared" si="44"/>
        <v>0</v>
      </c>
      <c r="L390" s="78">
        <f t="shared" si="45"/>
        <v>0</v>
      </c>
      <c r="M390" s="78">
        <f t="shared" si="46"/>
        <v>0</v>
      </c>
      <c r="N390" s="78">
        <f t="shared" si="47"/>
        <v>0</v>
      </c>
      <c r="O390" s="79">
        <f t="shared" si="48"/>
        <v>0</v>
      </c>
    </row>
    <row r="391" spans="2:15" s="61" customFormat="1" ht="19" customHeight="1" x14ac:dyDescent="0.2">
      <c r="B391" s="24"/>
      <c r="C391" s="24"/>
      <c r="D391" s="36"/>
      <c r="E391" s="24"/>
      <c r="F391" s="77" t="str">
        <f t="shared" si="41"/>
        <v/>
      </c>
      <c r="G391" s="24"/>
      <c r="I391" s="78">
        <f t="shared" si="42"/>
        <v>0</v>
      </c>
      <c r="J391" s="78">
        <f t="shared" si="43"/>
        <v>0</v>
      </c>
      <c r="K391" s="78">
        <f t="shared" si="44"/>
        <v>0</v>
      </c>
      <c r="L391" s="78">
        <f t="shared" si="45"/>
        <v>0</v>
      </c>
      <c r="M391" s="78">
        <f t="shared" si="46"/>
        <v>0</v>
      </c>
      <c r="N391" s="78">
        <f t="shared" si="47"/>
        <v>0</v>
      </c>
      <c r="O391" s="79">
        <f t="shared" si="48"/>
        <v>0</v>
      </c>
    </row>
    <row r="392" spans="2:15" s="61" customFormat="1" ht="19" customHeight="1" x14ac:dyDescent="0.2">
      <c r="B392" s="24"/>
      <c r="C392" s="24"/>
      <c r="D392" s="36"/>
      <c r="E392" s="24"/>
      <c r="F392" s="77" t="str">
        <f t="shared" si="41"/>
        <v/>
      </c>
      <c r="G392" s="24"/>
      <c r="I392" s="78">
        <f t="shared" si="42"/>
        <v>0</v>
      </c>
      <c r="J392" s="78">
        <f t="shared" si="43"/>
        <v>0</v>
      </c>
      <c r="K392" s="78">
        <f t="shared" si="44"/>
        <v>0</v>
      </c>
      <c r="L392" s="78">
        <f t="shared" si="45"/>
        <v>0</v>
      </c>
      <c r="M392" s="78">
        <f t="shared" si="46"/>
        <v>0</v>
      </c>
      <c r="N392" s="78">
        <f t="shared" si="47"/>
        <v>0</v>
      </c>
      <c r="O392" s="79">
        <f t="shared" si="48"/>
        <v>0</v>
      </c>
    </row>
    <row r="393" spans="2:15" s="61" customFormat="1" ht="19" customHeight="1" x14ac:dyDescent="0.2">
      <c r="B393" s="24"/>
      <c r="C393" s="24"/>
      <c r="D393" s="36"/>
      <c r="E393" s="24"/>
      <c r="F393" s="77" t="str">
        <f t="shared" si="41"/>
        <v/>
      </c>
      <c r="G393" s="24"/>
      <c r="I393" s="78">
        <f t="shared" si="42"/>
        <v>0</v>
      </c>
      <c r="J393" s="78">
        <f t="shared" si="43"/>
        <v>0</v>
      </c>
      <c r="K393" s="78">
        <f t="shared" si="44"/>
        <v>0</v>
      </c>
      <c r="L393" s="78">
        <f t="shared" si="45"/>
        <v>0</v>
      </c>
      <c r="M393" s="78">
        <f t="shared" si="46"/>
        <v>0</v>
      </c>
      <c r="N393" s="78">
        <f t="shared" si="47"/>
        <v>0</v>
      </c>
      <c r="O393" s="79">
        <f t="shared" si="48"/>
        <v>0</v>
      </c>
    </row>
    <row r="394" spans="2:15" s="61" customFormat="1" ht="19" customHeight="1" x14ac:dyDescent="0.2">
      <c r="B394" s="24"/>
      <c r="C394" s="24"/>
      <c r="D394" s="36"/>
      <c r="E394" s="24"/>
      <c r="F394" s="77" t="str">
        <f t="shared" si="41"/>
        <v/>
      </c>
      <c r="G394" s="24"/>
      <c r="I394" s="78">
        <f t="shared" si="42"/>
        <v>0</v>
      </c>
      <c r="J394" s="78">
        <f t="shared" si="43"/>
        <v>0</v>
      </c>
      <c r="K394" s="78">
        <f t="shared" si="44"/>
        <v>0</v>
      </c>
      <c r="L394" s="78">
        <f t="shared" si="45"/>
        <v>0</v>
      </c>
      <c r="M394" s="78">
        <f t="shared" si="46"/>
        <v>0</v>
      </c>
      <c r="N394" s="78">
        <f t="shared" si="47"/>
        <v>0</v>
      </c>
      <c r="O394" s="79">
        <f t="shared" si="48"/>
        <v>0</v>
      </c>
    </row>
    <row r="395" spans="2:15" s="61" customFormat="1" ht="19" customHeight="1" x14ac:dyDescent="0.2">
      <c r="B395" s="24"/>
      <c r="C395" s="24"/>
      <c r="D395" s="36"/>
      <c r="E395" s="24"/>
      <c r="F395" s="77" t="str">
        <f t="shared" ref="F395:F458" si="49">IF(E395="","",IFERROR(VLOOKUP(E395,zone,2,0),""))</f>
        <v/>
      </c>
      <c r="G395" s="24"/>
      <c r="I395" s="78">
        <f t="shared" si="42"/>
        <v>0</v>
      </c>
      <c r="J395" s="78">
        <f t="shared" si="43"/>
        <v>0</v>
      </c>
      <c r="K395" s="78">
        <f t="shared" si="44"/>
        <v>0</v>
      </c>
      <c r="L395" s="78">
        <f t="shared" si="45"/>
        <v>0</v>
      </c>
      <c r="M395" s="78">
        <f t="shared" si="46"/>
        <v>0</v>
      </c>
      <c r="N395" s="78">
        <f t="shared" si="47"/>
        <v>0</v>
      </c>
      <c r="O395" s="79">
        <f t="shared" si="48"/>
        <v>0</v>
      </c>
    </row>
    <row r="396" spans="2:15" s="61" customFormat="1" ht="19" customHeight="1" x14ac:dyDescent="0.2">
      <c r="B396" s="24"/>
      <c r="C396" s="24"/>
      <c r="D396" s="36"/>
      <c r="E396" s="24"/>
      <c r="F396" s="77" t="str">
        <f t="shared" si="49"/>
        <v/>
      </c>
      <c r="G396" s="24"/>
      <c r="I396" s="78">
        <f t="shared" ref="I396:I459" si="50">IF(B396="",0,1)</f>
        <v>0</v>
      </c>
      <c r="J396" s="78">
        <f t="shared" ref="J396:J459" si="51">IF(C396="",0,1)</f>
        <v>0</v>
      </c>
      <c r="K396" s="78">
        <f t="shared" ref="K396:K459" si="52">IF(D396="",0,1)</f>
        <v>0</v>
      </c>
      <c r="L396" s="78">
        <f t="shared" ref="L396:L459" si="53">IF(E396="",0,1)</f>
        <v>0</v>
      </c>
      <c r="M396" s="78">
        <f t="shared" ref="M396:M459" si="54">IF(F396="",0,1)</f>
        <v>0</v>
      </c>
      <c r="N396" s="78">
        <f t="shared" ref="N396:N459" si="55">IF(G396="",0,1)</f>
        <v>0</v>
      </c>
      <c r="O396" s="79">
        <f t="shared" ref="O396:O459" si="56">SUM(I396:N396)</f>
        <v>0</v>
      </c>
    </row>
    <row r="397" spans="2:15" s="61" customFormat="1" ht="19" customHeight="1" x14ac:dyDescent="0.2">
      <c r="B397" s="24"/>
      <c r="C397" s="24"/>
      <c r="D397" s="36"/>
      <c r="E397" s="24"/>
      <c r="F397" s="77" t="str">
        <f t="shared" si="49"/>
        <v/>
      </c>
      <c r="G397" s="24"/>
      <c r="I397" s="78">
        <f t="shared" si="50"/>
        <v>0</v>
      </c>
      <c r="J397" s="78">
        <f t="shared" si="51"/>
        <v>0</v>
      </c>
      <c r="K397" s="78">
        <f t="shared" si="52"/>
        <v>0</v>
      </c>
      <c r="L397" s="78">
        <f t="shared" si="53"/>
        <v>0</v>
      </c>
      <c r="M397" s="78">
        <f t="shared" si="54"/>
        <v>0</v>
      </c>
      <c r="N397" s="78">
        <f t="shared" si="55"/>
        <v>0</v>
      </c>
      <c r="O397" s="79">
        <f t="shared" si="56"/>
        <v>0</v>
      </c>
    </row>
    <row r="398" spans="2:15" s="61" customFormat="1" ht="19" customHeight="1" x14ac:dyDescent="0.2">
      <c r="B398" s="24"/>
      <c r="C398" s="24"/>
      <c r="D398" s="36"/>
      <c r="E398" s="24"/>
      <c r="F398" s="77" t="str">
        <f t="shared" si="49"/>
        <v/>
      </c>
      <c r="G398" s="24"/>
      <c r="I398" s="78">
        <f t="shared" si="50"/>
        <v>0</v>
      </c>
      <c r="J398" s="78">
        <f t="shared" si="51"/>
        <v>0</v>
      </c>
      <c r="K398" s="78">
        <f t="shared" si="52"/>
        <v>0</v>
      </c>
      <c r="L398" s="78">
        <f t="shared" si="53"/>
        <v>0</v>
      </c>
      <c r="M398" s="78">
        <f t="shared" si="54"/>
        <v>0</v>
      </c>
      <c r="N398" s="78">
        <f t="shared" si="55"/>
        <v>0</v>
      </c>
      <c r="O398" s="79">
        <f t="shared" si="56"/>
        <v>0</v>
      </c>
    </row>
    <row r="399" spans="2:15" s="61" customFormat="1" ht="19" customHeight="1" x14ac:dyDescent="0.2">
      <c r="B399" s="24"/>
      <c r="C399" s="24"/>
      <c r="D399" s="36"/>
      <c r="E399" s="24"/>
      <c r="F399" s="77" t="str">
        <f t="shared" si="49"/>
        <v/>
      </c>
      <c r="G399" s="24"/>
      <c r="I399" s="78">
        <f t="shared" si="50"/>
        <v>0</v>
      </c>
      <c r="J399" s="78">
        <f t="shared" si="51"/>
        <v>0</v>
      </c>
      <c r="K399" s="78">
        <f t="shared" si="52"/>
        <v>0</v>
      </c>
      <c r="L399" s="78">
        <f t="shared" si="53"/>
        <v>0</v>
      </c>
      <c r="M399" s="78">
        <f t="shared" si="54"/>
        <v>0</v>
      </c>
      <c r="N399" s="78">
        <f t="shared" si="55"/>
        <v>0</v>
      </c>
      <c r="O399" s="79">
        <f t="shared" si="56"/>
        <v>0</v>
      </c>
    </row>
    <row r="400" spans="2:15" s="61" customFormat="1" ht="19" customHeight="1" x14ac:dyDescent="0.2">
      <c r="B400" s="24"/>
      <c r="C400" s="24"/>
      <c r="D400" s="36"/>
      <c r="E400" s="24"/>
      <c r="F400" s="77" t="str">
        <f t="shared" si="49"/>
        <v/>
      </c>
      <c r="G400" s="24"/>
      <c r="I400" s="78">
        <f t="shared" si="50"/>
        <v>0</v>
      </c>
      <c r="J400" s="78">
        <f t="shared" si="51"/>
        <v>0</v>
      </c>
      <c r="K400" s="78">
        <f t="shared" si="52"/>
        <v>0</v>
      </c>
      <c r="L400" s="78">
        <f t="shared" si="53"/>
        <v>0</v>
      </c>
      <c r="M400" s="78">
        <f t="shared" si="54"/>
        <v>0</v>
      </c>
      <c r="N400" s="78">
        <f t="shared" si="55"/>
        <v>0</v>
      </c>
      <c r="O400" s="79">
        <f t="shared" si="56"/>
        <v>0</v>
      </c>
    </row>
    <row r="401" spans="2:15" s="61" customFormat="1" ht="19" customHeight="1" x14ac:dyDescent="0.2">
      <c r="B401" s="24"/>
      <c r="C401" s="24"/>
      <c r="D401" s="36"/>
      <c r="E401" s="24"/>
      <c r="F401" s="77" t="str">
        <f t="shared" si="49"/>
        <v/>
      </c>
      <c r="G401" s="24"/>
      <c r="I401" s="78">
        <f t="shared" si="50"/>
        <v>0</v>
      </c>
      <c r="J401" s="78">
        <f t="shared" si="51"/>
        <v>0</v>
      </c>
      <c r="K401" s="78">
        <f t="shared" si="52"/>
        <v>0</v>
      </c>
      <c r="L401" s="78">
        <f t="shared" si="53"/>
        <v>0</v>
      </c>
      <c r="M401" s="78">
        <f t="shared" si="54"/>
        <v>0</v>
      </c>
      <c r="N401" s="78">
        <f t="shared" si="55"/>
        <v>0</v>
      </c>
      <c r="O401" s="79">
        <f t="shared" si="56"/>
        <v>0</v>
      </c>
    </row>
    <row r="402" spans="2:15" s="61" customFormat="1" ht="19" customHeight="1" x14ac:dyDescent="0.2">
      <c r="B402" s="24"/>
      <c r="C402" s="24"/>
      <c r="D402" s="36"/>
      <c r="E402" s="24"/>
      <c r="F402" s="77" t="str">
        <f t="shared" si="49"/>
        <v/>
      </c>
      <c r="G402" s="24"/>
      <c r="I402" s="78">
        <f t="shared" si="50"/>
        <v>0</v>
      </c>
      <c r="J402" s="78">
        <f t="shared" si="51"/>
        <v>0</v>
      </c>
      <c r="K402" s="78">
        <f t="shared" si="52"/>
        <v>0</v>
      </c>
      <c r="L402" s="78">
        <f t="shared" si="53"/>
        <v>0</v>
      </c>
      <c r="M402" s="78">
        <f t="shared" si="54"/>
        <v>0</v>
      </c>
      <c r="N402" s="78">
        <f t="shared" si="55"/>
        <v>0</v>
      </c>
      <c r="O402" s="79">
        <f t="shared" si="56"/>
        <v>0</v>
      </c>
    </row>
    <row r="403" spans="2:15" s="61" customFormat="1" ht="19" customHeight="1" x14ac:dyDescent="0.2">
      <c r="B403" s="24"/>
      <c r="C403" s="24"/>
      <c r="D403" s="36"/>
      <c r="E403" s="24"/>
      <c r="F403" s="77" t="str">
        <f t="shared" si="49"/>
        <v/>
      </c>
      <c r="G403" s="24"/>
      <c r="I403" s="78">
        <f t="shared" si="50"/>
        <v>0</v>
      </c>
      <c r="J403" s="78">
        <f t="shared" si="51"/>
        <v>0</v>
      </c>
      <c r="K403" s="78">
        <f t="shared" si="52"/>
        <v>0</v>
      </c>
      <c r="L403" s="78">
        <f t="shared" si="53"/>
        <v>0</v>
      </c>
      <c r="M403" s="78">
        <f t="shared" si="54"/>
        <v>0</v>
      </c>
      <c r="N403" s="78">
        <f t="shared" si="55"/>
        <v>0</v>
      </c>
      <c r="O403" s="79">
        <f t="shared" si="56"/>
        <v>0</v>
      </c>
    </row>
    <row r="404" spans="2:15" s="61" customFormat="1" ht="19" customHeight="1" x14ac:dyDescent="0.2">
      <c r="B404" s="24"/>
      <c r="C404" s="24"/>
      <c r="D404" s="36"/>
      <c r="E404" s="24"/>
      <c r="F404" s="77" t="str">
        <f t="shared" si="49"/>
        <v/>
      </c>
      <c r="G404" s="24"/>
      <c r="I404" s="78">
        <f t="shared" si="50"/>
        <v>0</v>
      </c>
      <c r="J404" s="78">
        <f t="shared" si="51"/>
        <v>0</v>
      </c>
      <c r="K404" s="78">
        <f t="shared" si="52"/>
        <v>0</v>
      </c>
      <c r="L404" s="78">
        <f t="shared" si="53"/>
        <v>0</v>
      </c>
      <c r="M404" s="78">
        <f t="shared" si="54"/>
        <v>0</v>
      </c>
      <c r="N404" s="78">
        <f t="shared" si="55"/>
        <v>0</v>
      </c>
      <c r="O404" s="79">
        <f t="shared" si="56"/>
        <v>0</v>
      </c>
    </row>
    <row r="405" spans="2:15" s="61" customFormat="1" ht="19" customHeight="1" x14ac:dyDescent="0.2">
      <c r="B405" s="24"/>
      <c r="C405" s="24"/>
      <c r="D405" s="36"/>
      <c r="E405" s="24"/>
      <c r="F405" s="77" t="str">
        <f t="shared" si="49"/>
        <v/>
      </c>
      <c r="G405" s="24"/>
      <c r="I405" s="78">
        <f t="shared" si="50"/>
        <v>0</v>
      </c>
      <c r="J405" s="78">
        <f t="shared" si="51"/>
        <v>0</v>
      </c>
      <c r="K405" s="78">
        <f t="shared" si="52"/>
        <v>0</v>
      </c>
      <c r="L405" s="78">
        <f t="shared" si="53"/>
        <v>0</v>
      </c>
      <c r="M405" s="78">
        <f t="shared" si="54"/>
        <v>0</v>
      </c>
      <c r="N405" s="78">
        <f t="shared" si="55"/>
        <v>0</v>
      </c>
      <c r="O405" s="79">
        <f t="shared" si="56"/>
        <v>0</v>
      </c>
    </row>
    <row r="406" spans="2:15" s="61" customFormat="1" ht="19" customHeight="1" x14ac:dyDescent="0.2">
      <c r="B406" s="24"/>
      <c r="C406" s="24"/>
      <c r="D406" s="36"/>
      <c r="E406" s="24"/>
      <c r="F406" s="77" t="str">
        <f t="shared" si="49"/>
        <v/>
      </c>
      <c r="G406" s="24"/>
      <c r="I406" s="78">
        <f t="shared" si="50"/>
        <v>0</v>
      </c>
      <c r="J406" s="78">
        <f t="shared" si="51"/>
        <v>0</v>
      </c>
      <c r="K406" s="78">
        <f t="shared" si="52"/>
        <v>0</v>
      </c>
      <c r="L406" s="78">
        <f t="shared" si="53"/>
        <v>0</v>
      </c>
      <c r="M406" s="78">
        <f t="shared" si="54"/>
        <v>0</v>
      </c>
      <c r="N406" s="78">
        <f t="shared" si="55"/>
        <v>0</v>
      </c>
      <c r="O406" s="79">
        <f t="shared" si="56"/>
        <v>0</v>
      </c>
    </row>
    <row r="407" spans="2:15" s="61" customFormat="1" ht="19" customHeight="1" x14ac:dyDescent="0.2">
      <c r="B407" s="24"/>
      <c r="C407" s="24"/>
      <c r="D407" s="36"/>
      <c r="E407" s="24"/>
      <c r="F407" s="77" t="str">
        <f t="shared" si="49"/>
        <v/>
      </c>
      <c r="G407" s="24"/>
      <c r="I407" s="78">
        <f t="shared" si="50"/>
        <v>0</v>
      </c>
      <c r="J407" s="78">
        <f t="shared" si="51"/>
        <v>0</v>
      </c>
      <c r="K407" s="78">
        <f t="shared" si="52"/>
        <v>0</v>
      </c>
      <c r="L407" s="78">
        <f t="shared" si="53"/>
        <v>0</v>
      </c>
      <c r="M407" s="78">
        <f t="shared" si="54"/>
        <v>0</v>
      </c>
      <c r="N407" s="78">
        <f t="shared" si="55"/>
        <v>0</v>
      </c>
      <c r="O407" s="79">
        <f t="shared" si="56"/>
        <v>0</v>
      </c>
    </row>
    <row r="408" spans="2:15" s="61" customFormat="1" ht="19" customHeight="1" x14ac:dyDescent="0.2">
      <c r="B408" s="24"/>
      <c r="C408" s="24"/>
      <c r="D408" s="36"/>
      <c r="E408" s="24"/>
      <c r="F408" s="77" t="str">
        <f t="shared" si="49"/>
        <v/>
      </c>
      <c r="G408" s="24"/>
      <c r="I408" s="78">
        <f t="shared" si="50"/>
        <v>0</v>
      </c>
      <c r="J408" s="78">
        <f t="shared" si="51"/>
        <v>0</v>
      </c>
      <c r="K408" s="78">
        <f t="shared" si="52"/>
        <v>0</v>
      </c>
      <c r="L408" s="78">
        <f t="shared" si="53"/>
        <v>0</v>
      </c>
      <c r="M408" s="78">
        <f t="shared" si="54"/>
        <v>0</v>
      </c>
      <c r="N408" s="78">
        <f t="shared" si="55"/>
        <v>0</v>
      </c>
      <c r="O408" s="79">
        <f t="shared" si="56"/>
        <v>0</v>
      </c>
    </row>
    <row r="409" spans="2:15" s="61" customFormat="1" ht="19" customHeight="1" x14ac:dyDescent="0.2">
      <c r="B409" s="24"/>
      <c r="C409" s="24"/>
      <c r="D409" s="36"/>
      <c r="E409" s="24"/>
      <c r="F409" s="77" t="str">
        <f t="shared" si="49"/>
        <v/>
      </c>
      <c r="G409" s="24"/>
      <c r="I409" s="78">
        <f t="shared" si="50"/>
        <v>0</v>
      </c>
      <c r="J409" s="78">
        <f t="shared" si="51"/>
        <v>0</v>
      </c>
      <c r="K409" s="78">
        <f t="shared" si="52"/>
        <v>0</v>
      </c>
      <c r="L409" s="78">
        <f t="shared" si="53"/>
        <v>0</v>
      </c>
      <c r="M409" s="78">
        <f t="shared" si="54"/>
        <v>0</v>
      </c>
      <c r="N409" s="78">
        <f t="shared" si="55"/>
        <v>0</v>
      </c>
      <c r="O409" s="79">
        <f t="shared" si="56"/>
        <v>0</v>
      </c>
    </row>
    <row r="410" spans="2:15" s="61" customFormat="1" ht="19" customHeight="1" x14ac:dyDescent="0.2">
      <c r="B410" s="24"/>
      <c r="C410" s="24"/>
      <c r="D410" s="36"/>
      <c r="E410" s="24"/>
      <c r="F410" s="77" t="str">
        <f t="shared" si="49"/>
        <v/>
      </c>
      <c r="G410" s="24"/>
      <c r="I410" s="78">
        <f t="shared" si="50"/>
        <v>0</v>
      </c>
      <c r="J410" s="78">
        <f t="shared" si="51"/>
        <v>0</v>
      </c>
      <c r="K410" s="78">
        <f t="shared" si="52"/>
        <v>0</v>
      </c>
      <c r="L410" s="78">
        <f t="shared" si="53"/>
        <v>0</v>
      </c>
      <c r="M410" s="78">
        <f t="shared" si="54"/>
        <v>0</v>
      </c>
      <c r="N410" s="78">
        <f t="shared" si="55"/>
        <v>0</v>
      </c>
      <c r="O410" s="79">
        <f t="shared" si="56"/>
        <v>0</v>
      </c>
    </row>
    <row r="411" spans="2:15" s="61" customFormat="1" ht="19" customHeight="1" x14ac:dyDescent="0.2">
      <c r="B411" s="24"/>
      <c r="C411" s="24"/>
      <c r="D411" s="36"/>
      <c r="E411" s="24"/>
      <c r="F411" s="77" t="str">
        <f t="shared" si="49"/>
        <v/>
      </c>
      <c r="G411" s="24"/>
      <c r="I411" s="78">
        <f t="shared" si="50"/>
        <v>0</v>
      </c>
      <c r="J411" s="78">
        <f t="shared" si="51"/>
        <v>0</v>
      </c>
      <c r="K411" s="78">
        <f t="shared" si="52"/>
        <v>0</v>
      </c>
      <c r="L411" s="78">
        <f t="shared" si="53"/>
        <v>0</v>
      </c>
      <c r="M411" s="78">
        <f t="shared" si="54"/>
        <v>0</v>
      </c>
      <c r="N411" s="78">
        <f t="shared" si="55"/>
        <v>0</v>
      </c>
      <c r="O411" s="79">
        <f t="shared" si="56"/>
        <v>0</v>
      </c>
    </row>
    <row r="412" spans="2:15" s="61" customFormat="1" ht="19" customHeight="1" x14ac:dyDescent="0.2">
      <c r="B412" s="24"/>
      <c r="C412" s="24"/>
      <c r="D412" s="36"/>
      <c r="E412" s="24"/>
      <c r="F412" s="77" t="str">
        <f t="shared" si="49"/>
        <v/>
      </c>
      <c r="G412" s="24"/>
      <c r="I412" s="78">
        <f t="shared" si="50"/>
        <v>0</v>
      </c>
      <c r="J412" s="78">
        <f t="shared" si="51"/>
        <v>0</v>
      </c>
      <c r="K412" s="78">
        <f t="shared" si="52"/>
        <v>0</v>
      </c>
      <c r="L412" s="78">
        <f t="shared" si="53"/>
        <v>0</v>
      </c>
      <c r="M412" s="78">
        <f t="shared" si="54"/>
        <v>0</v>
      </c>
      <c r="N412" s="78">
        <f t="shared" si="55"/>
        <v>0</v>
      </c>
      <c r="O412" s="79">
        <f t="shared" si="56"/>
        <v>0</v>
      </c>
    </row>
    <row r="413" spans="2:15" s="61" customFormat="1" ht="19" customHeight="1" x14ac:dyDescent="0.2">
      <c r="B413" s="24"/>
      <c r="C413" s="24"/>
      <c r="D413" s="36"/>
      <c r="E413" s="24"/>
      <c r="F413" s="77" t="str">
        <f t="shared" si="49"/>
        <v/>
      </c>
      <c r="G413" s="24"/>
      <c r="I413" s="78">
        <f t="shared" si="50"/>
        <v>0</v>
      </c>
      <c r="J413" s="78">
        <f t="shared" si="51"/>
        <v>0</v>
      </c>
      <c r="K413" s="78">
        <f t="shared" si="52"/>
        <v>0</v>
      </c>
      <c r="L413" s="78">
        <f t="shared" si="53"/>
        <v>0</v>
      </c>
      <c r="M413" s="78">
        <f t="shared" si="54"/>
        <v>0</v>
      </c>
      <c r="N413" s="78">
        <f t="shared" si="55"/>
        <v>0</v>
      </c>
      <c r="O413" s="79">
        <f t="shared" si="56"/>
        <v>0</v>
      </c>
    </row>
    <row r="414" spans="2:15" s="61" customFormat="1" ht="19" customHeight="1" x14ac:dyDescent="0.2">
      <c r="B414" s="24"/>
      <c r="C414" s="24"/>
      <c r="D414" s="36"/>
      <c r="E414" s="24"/>
      <c r="F414" s="77" t="str">
        <f t="shared" si="49"/>
        <v/>
      </c>
      <c r="G414" s="24"/>
      <c r="I414" s="78">
        <f t="shared" si="50"/>
        <v>0</v>
      </c>
      <c r="J414" s="78">
        <f t="shared" si="51"/>
        <v>0</v>
      </c>
      <c r="K414" s="78">
        <f t="shared" si="52"/>
        <v>0</v>
      </c>
      <c r="L414" s="78">
        <f t="shared" si="53"/>
        <v>0</v>
      </c>
      <c r="M414" s="78">
        <f t="shared" si="54"/>
        <v>0</v>
      </c>
      <c r="N414" s="78">
        <f t="shared" si="55"/>
        <v>0</v>
      </c>
      <c r="O414" s="79">
        <f t="shared" si="56"/>
        <v>0</v>
      </c>
    </row>
    <row r="415" spans="2:15" s="61" customFormat="1" ht="19" customHeight="1" x14ac:dyDescent="0.2">
      <c r="B415" s="24"/>
      <c r="C415" s="24"/>
      <c r="D415" s="36"/>
      <c r="E415" s="24"/>
      <c r="F415" s="77" t="str">
        <f t="shared" si="49"/>
        <v/>
      </c>
      <c r="G415" s="24"/>
      <c r="I415" s="78">
        <f t="shared" si="50"/>
        <v>0</v>
      </c>
      <c r="J415" s="78">
        <f t="shared" si="51"/>
        <v>0</v>
      </c>
      <c r="K415" s="78">
        <f t="shared" si="52"/>
        <v>0</v>
      </c>
      <c r="L415" s="78">
        <f t="shared" si="53"/>
        <v>0</v>
      </c>
      <c r="M415" s="78">
        <f t="shared" si="54"/>
        <v>0</v>
      </c>
      <c r="N415" s="78">
        <f t="shared" si="55"/>
        <v>0</v>
      </c>
      <c r="O415" s="79">
        <f t="shared" si="56"/>
        <v>0</v>
      </c>
    </row>
    <row r="416" spans="2:15" s="61" customFormat="1" ht="19" customHeight="1" x14ac:dyDescent="0.2">
      <c r="B416" s="24"/>
      <c r="C416" s="24"/>
      <c r="D416" s="36"/>
      <c r="E416" s="24"/>
      <c r="F416" s="77" t="str">
        <f t="shared" si="49"/>
        <v/>
      </c>
      <c r="G416" s="24"/>
      <c r="I416" s="78">
        <f t="shared" si="50"/>
        <v>0</v>
      </c>
      <c r="J416" s="78">
        <f t="shared" si="51"/>
        <v>0</v>
      </c>
      <c r="K416" s="78">
        <f t="shared" si="52"/>
        <v>0</v>
      </c>
      <c r="L416" s="78">
        <f t="shared" si="53"/>
        <v>0</v>
      </c>
      <c r="M416" s="78">
        <f t="shared" si="54"/>
        <v>0</v>
      </c>
      <c r="N416" s="78">
        <f t="shared" si="55"/>
        <v>0</v>
      </c>
      <c r="O416" s="79">
        <f t="shared" si="56"/>
        <v>0</v>
      </c>
    </row>
    <row r="417" spans="2:15" s="61" customFormat="1" ht="19" customHeight="1" x14ac:dyDescent="0.2">
      <c r="B417" s="24"/>
      <c r="C417" s="24"/>
      <c r="D417" s="36"/>
      <c r="E417" s="24"/>
      <c r="F417" s="77" t="str">
        <f t="shared" si="49"/>
        <v/>
      </c>
      <c r="G417" s="24"/>
      <c r="I417" s="78">
        <f t="shared" si="50"/>
        <v>0</v>
      </c>
      <c r="J417" s="78">
        <f t="shared" si="51"/>
        <v>0</v>
      </c>
      <c r="K417" s="78">
        <f t="shared" si="52"/>
        <v>0</v>
      </c>
      <c r="L417" s="78">
        <f t="shared" si="53"/>
        <v>0</v>
      </c>
      <c r="M417" s="78">
        <f t="shared" si="54"/>
        <v>0</v>
      </c>
      <c r="N417" s="78">
        <f t="shared" si="55"/>
        <v>0</v>
      </c>
      <c r="O417" s="79">
        <f t="shared" si="56"/>
        <v>0</v>
      </c>
    </row>
    <row r="418" spans="2:15" s="61" customFormat="1" ht="19" customHeight="1" x14ac:dyDescent="0.2">
      <c r="B418" s="24"/>
      <c r="C418" s="24"/>
      <c r="D418" s="36"/>
      <c r="E418" s="24"/>
      <c r="F418" s="77" t="str">
        <f t="shared" si="49"/>
        <v/>
      </c>
      <c r="G418" s="24"/>
      <c r="I418" s="78">
        <f t="shared" si="50"/>
        <v>0</v>
      </c>
      <c r="J418" s="78">
        <f t="shared" si="51"/>
        <v>0</v>
      </c>
      <c r="K418" s="78">
        <f t="shared" si="52"/>
        <v>0</v>
      </c>
      <c r="L418" s="78">
        <f t="shared" si="53"/>
        <v>0</v>
      </c>
      <c r="M418" s="78">
        <f t="shared" si="54"/>
        <v>0</v>
      </c>
      <c r="N418" s="78">
        <f t="shared" si="55"/>
        <v>0</v>
      </c>
      <c r="O418" s="79">
        <f t="shared" si="56"/>
        <v>0</v>
      </c>
    </row>
    <row r="419" spans="2:15" s="61" customFormat="1" ht="19" customHeight="1" x14ac:dyDescent="0.2">
      <c r="B419" s="24"/>
      <c r="C419" s="24"/>
      <c r="D419" s="36"/>
      <c r="E419" s="24"/>
      <c r="F419" s="77" t="str">
        <f t="shared" si="49"/>
        <v/>
      </c>
      <c r="G419" s="24"/>
      <c r="I419" s="78">
        <f t="shared" si="50"/>
        <v>0</v>
      </c>
      <c r="J419" s="78">
        <f t="shared" si="51"/>
        <v>0</v>
      </c>
      <c r="K419" s="78">
        <f t="shared" si="52"/>
        <v>0</v>
      </c>
      <c r="L419" s="78">
        <f t="shared" si="53"/>
        <v>0</v>
      </c>
      <c r="M419" s="78">
        <f t="shared" si="54"/>
        <v>0</v>
      </c>
      <c r="N419" s="78">
        <f t="shared" si="55"/>
        <v>0</v>
      </c>
      <c r="O419" s="79">
        <f t="shared" si="56"/>
        <v>0</v>
      </c>
    </row>
    <row r="420" spans="2:15" s="61" customFormat="1" ht="19" customHeight="1" x14ac:dyDescent="0.2">
      <c r="B420" s="24"/>
      <c r="C420" s="24"/>
      <c r="D420" s="36"/>
      <c r="E420" s="24"/>
      <c r="F420" s="77" t="str">
        <f t="shared" si="49"/>
        <v/>
      </c>
      <c r="G420" s="24"/>
      <c r="I420" s="78">
        <f t="shared" si="50"/>
        <v>0</v>
      </c>
      <c r="J420" s="78">
        <f t="shared" si="51"/>
        <v>0</v>
      </c>
      <c r="K420" s="78">
        <f t="shared" si="52"/>
        <v>0</v>
      </c>
      <c r="L420" s="78">
        <f t="shared" si="53"/>
        <v>0</v>
      </c>
      <c r="M420" s="78">
        <f t="shared" si="54"/>
        <v>0</v>
      </c>
      <c r="N420" s="78">
        <f t="shared" si="55"/>
        <v>0</v>
      </c>
      <c r="O420" s="79">
        <f t="shared" si="56"/>
        <v>0</v>
      </c>
    </row>
    <row r="421" spans="2:15" s="61" customFormat="1" ht="19" customHeight="1" x14ac:dyDescent="0.2">
      <c r="B421" s="24"/>
      <c r="C421" s="24"/>
      <c r="D421" s="36"/>
      <c r="E421" s="24"/>
      <c r="F421" s="77" t="str">
        <f t="shared" si="49"/>
        <v/>
      </c>
      <c r="G421" s="24"/>
      <c r="I421" s="78">
        <f t="shared" si="50"/>
        <v>0</v>
      </c>
      <c r="J421" s="78">
        <f t="shared" si="51"/>
        <v>0</v>
      </c>
      <c r="K421" s="78">
        <f t="shared" si="52"/>
        <v>0</v>
      </c>
      <c r="L421" s="78">
        <f t="shared" si="53"/>
        <v>0</v>
      </c>
      <c r="M421" s="78">
        <f t="shared" si="54"/>
        <v>0</v>
      </c>
      <c r="N421" s="78">
        <f t="shared" si="55"/>
        <v>0</v>
      </c>
      <c r="O421" s="79">
        <f t="shared" si="56"/>
        <v>0</v>
      </c>
    </row>
    <row r="422" spans="2:15" s="61" customFormat="1" ht="19" customHeight="1" x14ac:dyDescent="0.2">
      <c r="B422" s="24"/>
      <c r="C422" s="24"/>
      <c r="D422" s="36"/>
      <c r="E422" s="24"/>
      <c r="F422" s="77" t="str">
        <f t="shared" si="49"/>
        <v/>
      </c>
      <c r="G422" s="24"/>
      <c r="I422" s="78">
        <f t="shared" si="50"/>
        <v>0</v>
      </c>
      <c r="J422" s="78">
        <f t="shared" si="51"/>
        <v>0</v>
      </c>
      <c r="K422" s="78">
        <f t="shared" si="52"/>
        <v>0</v>
      </c>
      <c r="L422" s="78">
        <f t="shared" si="53"/>
        <v>0</v>
      </c>
      <c r="M422" s="78">
        <f t="shared" si="54"/>
        <v>0</v>
      </c>
      <c r="N422" s="78">
        <f t="shared" si="55"/>
        <v>0</v>
      </c>
      <c r="O422" s="79">
        <f t="shared" si="56"/>
        <v>0</v>
      </c>
    </row>
    <row r="423" spans="2:15" s="61" customFormat="1" ht="19" customHeight="1" x14ac:dyDescent="0.2">
      <c r="B423" s="24"/>
      <c r="C423" s="24"/>
      <c r="D423" s="36"/>
      <c r="E423" s="24"/>
      <c r="F423" s="77" t="str">
        <f t="shared" si="49"/>
        <v/>
      </c>
      <c r="G423" s="24"/>
      <c r="I423" s="78">
        <f t="shared" si="50"/>
        <v>0</v>
      </c>
      <c r="J423" s="78">
        <f t="shared" si="51"/>
        <v>0</v>
      </c>
      <c r="K423" s="78">
        <f t="shared" si="52"/>
        <v>0</v>
      </c>
      <c r="L423" s="78">
        <f t="shared" si="53"/>
        <v>0</v>
      </c>
      <c r="M423" s="78">
        <f t="shared" si="54"/>
        <v>0</v>
      </c>
      <c r="N423" s="78">
        <f t="shared" si="55"/>
        <v>0</v>
      </c>
      <c r="O423" s="79">
        <f t="shared" si="56"/>
        <v>0</v>
      </c>
    </row>
    <row r="424" spans="2:15" s="61" customFormat="1" ht="19" customHeight="1" x14ac:dyDescent="0.2">
      <c r="B424" s="24"/>
      <c r="C424" s="24"/>
      <c r="D424" s="36"/>
      <c r="E424" s="24"/>
      <c r="F424" s="77" t="str">
        <f t="shared" si="49"/>
        <v/>
      </c>
      <c r="G424" s="24"/>
      <c r="I424" s="78">
        <f t="shared" si="50"/>
        <v>0</v>
      </c>
      <c r="J424" s="78">
        <f t="shared" si="51"/>
        <v>0</v>
      </c>
      <c r="K424" s="78">
        <f t="shared" si="52"/>
        <v>0</v>
      </c>
      <c r="L424" s="78">
        <f t="shared" si="53"/>
        <v>0</v>
      </c>
      <c r="M424" s="78">
        <f t="shared" si="54"/>
        <v>0</v>
      </c>
      <c r="N424" s="78">
        <f t="shared" si="55"/>
        <v>0</v>
      </c>
      <c r="O424" s="79">
        <f t="shared" si="56"/>
        <v>0</v>
      </c>
    </row>
    <row r="425" spans="2:15" s="61" customFormat="1" ht="19" customHeight="1" x14ac:dyDescent="0.2">
      <c r="B425" s="24"/>
      <c r="C425" s="24"/>
      <c r="D425" s="36"/>
      <c r="E425" s="24"/>
      <c r="F425" s="77" t="str">
        <f t="shared" si="49"/>
        <v/>
      </c>
      <c r="G425" s="24"/>
      <c r="I425" s="78">
        <f t="shared" si="50"/>
        <v>0</v>
      </c>
      <c r="J425" s="78">
        <f t="shared" si="51"/>
        <v>0</v>
      </c>
      <c r="K425" s="78">
        <f t="shared" si="52"/>
        <v>0</v>
      </c>
      <c r="L425" s="78">
        <f t="shared" si="53"/>
        <v>0</v>
      </c>
      <c r="M425" s="78">
        <f t="shared" si="54"/>
        <v>0</v>
      </c>
      <c r="N425" s="78">
        <f t="shared" si="55"/>
        <v>0</v>
      </c>
      <c r="O425" s="79">
        <f t="shared" si="56"/>
        <v>0</v>
      </c>
    </row>
    <row r="426" spans="2:15" s="61" customFormat="1" ht="19" customHeight="1" x14ac:dyDescent="0.2">
      <c r="B426" s="24"/>
      <c r="C426" s="24"/>
      <c r="D426" s="36"/>
      <c r="E426" s="24"/>
      <c r="F426" s="77" t="str">
        <f t="shared" si="49"/>
        <v/>
      </c>
      <c r="G426" s="24"/>
      <c r="I426" s="78">
        <f t="shared" si="50"/>
        <v>0</v>
      </c>
      <c r="J426" s="78">
        <f t="shared" si="51"/>
        <v>0</v>
      </c>
      <c r="K426" s="78">
        <f t="shared" si="52"/>
        <v>0</v>
      </c>
      <c r="L426" s="78">
        <f t="shared" si="53"/>
        <v>0</v>
      </c>
      <c r="M426" s="78">
        <f t="shared" si="54"/>
        <v>0</v>
      </c>
      <c r="N426" s="78">
        <f t="shared" si="55"/>
        <v>0</v>
      </c>
      <c r="O426" s="79">
        <f t="shared" si="56"/>
        <v>0</v>
      </c>
    </row>
    <row r="427" spans="2:15" s="61" customFormat="1" ht="19" customHeight="1" x14ac:dyDescent="0.2">
      <c r="B427" s="24"/>
      <c r="C427" s="24"/>
      <c r="D427" s="36"/>
      <c r="E427" s="24"/>
      <c r="F427" s="77" t="str">
        <f t="shared" si="49"/>
        <v/>
      </c>
      <c r="G427" s="24"/>
      <c r="I427" s="78">
        <f t="shared" si="50"/>
        <v>0</v>
      </c>
      <c r="J427" s="78">
        <f t="shared" si="51"/>
        <v>0</v>
      </c>
      <c r="K427" s="78">
        <f t="shared" si="52"/>
        <v>0</v>
      </c>
      <c r="L427" s="78">
        <f t="shared" si="53"/>
        <v>0</v>
      </c>
      <c r="M427" s="78">
        <f t="shared" si="54"/>
        <v>0</v>
      </c>
      <c r="N427" s="78">
        <f t="shared" si="55"/>
        <v>0</v>
      </c>
      <c r="O427" s="79">
        <f t="shared" si="56"/>
        <v>0</v>
      </c>
    </row>
    <row r="428" spans="2:15" s="61" customFormat="1" ht="19" customHeight="1" x14ac:dyDescent="0.2">
      <c r="B428" s="24"/>
      <c r="C428" s="24"/>
      <c r="D428" s="36"/>
      <c r="E428" s="24"/>
      <c r="F428" s="77" t="str">
        <f t="shared" si="49"/>
        <v/>
      </c>
      <c r="G428" s="24"/>
      <c r="I428" s="78">
        <f t="shared" si="50"/>
        <v>0</v>
      </c>
      <c r="J428" s="78">
        <f t="shared" si="51"/>
        <v>0</v>
      </c>
      <c r="K428" s="78">
        <f t="shared" si="52"/>
        <v>0</v>
      </c>
      <c r="L428" s="78">
        <f t="shared" si="53"/>
        <v>0</v>
      </c>
      <c r="M428" s="78">
        <f t="shared" si="54"/>
        <v>0</v>
      </c>
      <c r="N428" s="78">
        <f t="shared" si="55"/>
        <v>0</v>
      </c>
      <c r="O428" s="79">
        <f t="shared" si="56"/>
        <v>0</v>
      </c>
    </row>
    <row r="429" spans="2:15" s="61" customFormat="1" ht="19" customHeight="1" x14ac:dyDescent="0.2">
      <c r="B429" s="24"/>
      <c r="C429" s="24"/>
      <c r="D429" s="36"/>
      <c r="E429" s="24"/>
      <c r="F429" s="77" t="str">
        <f t="shared" si="49"/>
        <v/>
      </c>
      <c r="G429" s="24"/>
      <c r="I429" s="78">
        <f t="shared" si="50"/>
        <v>0</v>
      </c>
      <c r="J429" s="78">
        <f t="shared" si="51"/>
        <v>0</v>
      </c>
      <c r="K429" s="78">
        <f t="shared" si="52"/>
        <v>0</v>
      </c>
      <c r="L429" s="78">
        <f t="shared" si="53"/>
        <v>0</v>
      </c>
      <c r="M429" s="78">
        <f t="shared" si="54"/>
        <v>0</v>
      </c>
      <c r="N429" s="78">
        <f t="shared" si="55"/>
        <v>0</v>
      </c>
      <c r="O429" s="79">
        <f t="shared" si="56"/>
        <v>0</v>
      </c>
    </row>
    <row r="430" spans="2:15" s="61" customFormat="1" ht="19" customHeight="1" x14ac:dyDescent="0.2">
      <c r="B430" s="24"/>
      <c r="C430" s="24"/>
      <c r="D430" s="36"/>
      <c r="E430" s="24"/>
      <c r="F430" s="77" t="str">
        <f t="shared" si="49"/>
        <v/>
      </c>
      <c r="G430" s="24"/>
      <c r="I430" s="78">
        <f t="shared" si="50"/>
        <v>0</v>
      </c>
      <c r="J430" s="78">
        <f t="shared" si="51"/>
        <v>0</v>
      </c>
      <c r="K430" s="78">
        <f t="shared" si="52"/>
        <v>0</v>
      </c>
      <c r="L430" s="78">
        <f t="shared" si="53"/>
        <v>0</v>
      </c>
      <c r="M430" s="78">
        <f t="shared" si="54"/>
        <v>0</v>
      </c>
      <c r="N430" s="78">
        <f t="shared" si="55"/>
        <v>0</v>
      </c>
      <c r="O430" s="79">
        <f t="shared" si="56"/>
        <v>0</v>
      </c>
    </row>
    <row r="431" spans="2:15" s="61" customFormat="1" ht="19" customHeight="1" x14ac:dyDescent="0.2">
      <c r="B431" s="24"/>
      <c r="C431" s="24"/>
      <c r="D431" s="36"/>
      <c r="E431" s="24"/>
      <c r="F431" s="77" t="str">
        <f t="shared" si="49"/>
        <v/>
      </c>
      <c r="G431" s="24"/>
      <c r="I431" s="78">
        <f t="shared" si="50"/>
        <v>0</v>
      </c>
      <c r="J431" s="78">
        <f t="shared" si="51"/>
        <v>0</v>
      </c>
      <c r="K431" s="78">
        <f t="shared" si="52"/>
        <v>0</v>
      </c>
      <c r="L431" s="78">
        <f t="shared" si="53"/>
        <v>0</v>
      </c>
      <c r="M431" s="78">
        <f t="shared" si="54"/>
        <v>0</v>
      </c>
      <c r="N431" s="78">
        <f t="shared" si="55"/>
        <v>0</v>
      </c>
      <c r="O431" s="79">
        <f t="shared" si="56"/>
        <v>0</v>
      </c>
    </row>
    <row r="432" spans="2:15" s="61" customFormat="1" ht="19" customHeight="1" x14ac:dyDescent="0.2">
      <c r="B432" s="24"/>
      <c r="C432" s="24"/>
      <c r="D432" s="36"/>
      <c r="E432" s="24"/>
      <c r="F432" s="77" t="str">
        <f t="shared" si="49"/>
        <v/>
      </c>
      <c r="G432" s="24"/>
      <c r="I432" s="78">
        <f t="shared" si="50"/>
        <v>0</v>
      </c>
      <c r="J432" s="78">
        <f t="shared" si="51"/>
        <v>0</v>
      </c>
      <c r="K432" s="78">
        <f t="shared" si="52"/>
        <v>0</v>
      </c>
      <c r="L432" s="78">
        <f t="shared" si="53"/>
        <v>0</v>
      </c>
      <c r="M432" s="78">
        <f t="shared" si="54"/>
        <v>0</v>
      </c>
      <c r="N432" s="78">
        <f t="shared" si="55"/>
        <v>0</v>
      </c>
      <c r="O432" s="79">
        <f t="shared" si="56"/>
        <v>0</v>
      </c>
    </row>
    <row r="433" spans="2:15" s="61" customFormat="1" ht="19" customHeight="1" x14ac:dyDescent="0.2">
      <c r="B433" s="24"/>
      <c r="C433" s="24"/>
      <c r="D433" s="36"/>
      <c r="E433" s="24"/>
      <c r="F433" s="77" t="str">
        <f t="shared" si="49"/>
        <v/>
      </c>
      <c r="G433" s="24"/>
      <c r="I433" s="78">
        <f t="shared" si="50"/>
        <v>0</v>
      </c>
      <c r="J433" s="78">
        <f t="shared" si="51"/>
        <v>0</v>
      </c>
      <c r="K433" s="78">
        <f t="shared" si="52"/>
        <v>0</v>
      </c>
      <c r="L433" s="78">
        <f t="shared" si="53"/>
        <v>0</v>
      </c>
      <c r="M433" s="78">
        <f t="shared" si="54"/>
        <v>0</v>
      </c>
      <c r="N433" s="78">
        <f t="shared" si="55"/>
        <v>0</v>
      </c>
      <c r="O433" s="79">
        <f t="shared" si="56"/>
        <v>0</v>
      </c>
    </row>
    <row r="434" spans="2:15" s="61" customFormat="1" ht="19" customHeight="1" x14ac:dyDescent="0.2">
      <c r="B434" s="24"/>
      <c r="C434" s="24"/>
      <c r="D434" s="36"/>
      <c r="E434" s="24"/>
      <c r="F434" s="77" t="str">
        <f t="shared" si="49"/>
        <v/>
      </c>
      <c r="G434" s="24"/>
      <c r="I434" s="78">
        <f t="shared" si="50"/>
        <v>0</v>
      </c>
      <c r="J434" s="78">
        <f t="shared" si="51"/>
        <v>0</v>
      </c>
      <c r="K434" s="78">
        <f t="shared" si="52"/>
        <v>0</v>
      </c>
      <c r="L434" s="78">
        <f t="shared" si="53"/>
        <v>0</v>
      </c>
      <c r="M434" s="78">
        <f t="shared" si="54"/>
        <v>0</v>
      </c>
      <c r="N434" s="78">
        <f t="shared" si="55"/>
        <v>0</v>
      </c>
      <c r="O434" s="79">
        <f t="shared" si="56"/>
        <v>0</v>
      </c>
    </row>
    <row r="435" spans="2:15" s="61" customFormat="1" ht="19" customHeight="1" x14ac:dyDescent="0.2">
      <c r="B435" s="24"/>
      <c r="C435" s="24"/>
      <c r="D435" s="36"/>
      <c r="E435" s="24"/>
      <c r="F435" s="77" t="str">
        <f t="shared" si="49"/>
        <v/>
      </c>
      <c r="G435" s="24"/>
      <c r="I435" s="78">
        <f t="shared" si="50"/>
        <v>0</v>
      </c>
      <c r="J435" s="78">
        <f t="shared" si="51"/>
        <v>0</v>
      </c>
      <c r="K435" s="78">
        <f t="shared" si="52"/>
        <v>0</v>
      </c>
      <c r="L435" s="78">
        <f t="shared" si="53"/>
        <v>0</v>
      </c>
      <c r="M435" s="78">
        <f t="shared" si="54"/>
        <v>0</v>
      </c>
      <c r="N435" s="78">
        <f t="shared" si="55"/>
        <v>0</v>
      </c>
      <c r="O435" s="79">
        <f t="shared" si="56"/>
        <v>0</v>
      </c>
    </row>
    <row r="436" spans="2:15" s="61" customFormat="1" ht="19" customHeight="1" x14ac:dyDescent="0.2">
      <c r="B436" s="24"/>
      <c r="C436" s="24"/>
      <c r="D436" s="36"/>
      <c r="E436" s="24"/>
      <c r="F436" s="77" t="str">
        <f t="shared" si="49"/>
        <v/>
      </c>
      <c r="G436" s="24"/>
      <c r="I436" s="78">
        <f t="shared" si="50"/>
        <v>0</v>
      </c>
      <c r="J436" s="78">
        <f t="shared" si="51"/>
        <v>0</v>
      </c>
      <c r="K436" s="78">
        <f t="shared" si="52"/>
        <v>0</v>
      </c>
      <c r="L436" s="78">
        <f t="shared" si="53"/>
        <v>0</v>
      </c>
      <c r="M436" s="78">
        <f t="shared" si="54"/>
        <v>0</v>
      </c>
      <c r="N436" s="78">
        <f t="shared" si="55"/>
        <v>0</v>
      </c>
      <c r="O436" s="79">
        <f t="shared" si="56"/>
        <v>0</v>
      </c>
    </row>
    <row r="437" spans="2:15" s="61" customFormat="1" ht="19" customHeight="1" x14ac:dyDescent="0.2">
      <c r="B437" s="24"/>
      <c r="C437" s="24"/>
      <c r="D437" s="36"/>
      <c r="E437" s="24"/>
      <c r="F437" s="77" t="str">
        <f t="shared" si="49"/>
        <v/>
      </c>
      <c r="G437" s="24"/>
      <c r="I437" s="78">
        <f t="shared" si="50"/>
        <v>0</v>
      </c>
      <c r="J437" s="78">
        <f t="shared" si="51"/>
        <v>0</v>
      </c>
      <c r="K437" s="78">
        <f t="shared" si="52"/>
        <v>0</v>
      </c>
      <c r="L437" s="78">
        <f t="shared" si="53"/>
        <v>0</v>
      </c>
      <c r="M437" s="78">
        <f t="shared" si="54"/>
        <v>0</v>
      </c>
      <c r="N437" s="78">
        <f t="shared" si="55"/>
        <v>0</v>
      </c>
      <c r="O437" s="79">
        <f t="shared" si="56"/>
        <v>0</v>
      </c>
    </row>
    <row r="438" spans="2:15" s="61" customFormat="1" ht="19" customHeight="1" x14ac:dyDescent="0.2">
      <c r="B438" s="24"/>
      <c r="C438" s="24"/>
      <c r="D438" s="36"/>
      <c r="E438" s="24"/>
      <c r="F438" s="77" t="str">
        <f t="shared" si="49"/>
        <v/>
      </c>
      <c r="G438" s="24"/>
      <c r="I438" s="78">
        <f t="shared" si="50"/>
        <v>0</v>
      </c>
      <c r="J438" s="78">
        <f t="shared" si="51"/>
        <v>0</v>
      </c>
      <c r="K438" s="78">
        <f t="shared" si="52"/>
        <v>0</v>
      </c>
      <c r="L438" s="78">
        <f t="shared" si="53"/>
        <v>0</v>
      </c>
      <c r="M438" s="78">
        <f t="shared" si="54"/>
        <v>0</v>
      </c>
      <c r="N438" s="78">
        <f t="shared" si="55"/>
        <v>0</v>
      </c>
      <c r="O438" s="79">
        <f t="shared" si="56"/>
        <v>0</v>
      </c>
    </row>
    <row r="439" spans="2:15" s="61" customFormat="1" ht="19" customHeight="1" x14ac:dyDescent="0.2">
      <c r="B439" s="24"/>
      <c r="C439" s="24"/>
      <c r="D439" s="36"/>
      <c r="E439" s="24"/>
      <c r="F439" s="77" t="str">
        <f t="shared" si="49"/>
        <v/>
      </c>
      <c r="G439" s="24"/>
      <c r="I439" s="78">
        <f t="shared" si="50"/>
        <v>0</v>
      </c>
      <c r="J439" s="78">
        <f t="shared" si="51"/>
        <v>0</v>
      </c>
      <c r="K439" s="78">
        <f t="shared" si="52"/>
        <v>0</v>
      </c>
      <c r="L439" s="78">
        <f t="shared" si="53"/>
        <v>0</v>
      </c>
      <c r="M439" s="78">
        <f t="shared" si="54"/>
        <v>0</v>
      </c>
      <c r="N439" s="78">
        <f t="shared" si="55"/>
        <v>0</v>
      </c>
      <c r="O439" s="79">
        <f t="shared" si="56"/>
        <v>0</v>
      </c>
    </row>
    <row r="440" spans="2:15" s="61" customFormat="1" ht="19" customHeight="1" x14ac:dyDescent="0.2">
      <c r="B440" s="24"/>
      <c r="C440" s="24"/>
      <c r="D440" s="36"/>
      <c r="E440" s="24"/>
      <c r="F440" s="77" t="str">
        <f t="shared" si="49"/>
        <v/>
      </c>
      <c r="G440" s="24"/>
      <c r="I440" s="78">
        <f t="shared" si="50"/>
        <v>0</v>
      </c>
      <c r="J440" s="78">
        <f t="shared" si="51"/>
        <v>0</v>
      </c>
      <c r="K440" s="78">
        <f t="shared" si="52"/>
        <v>0</v>
      </c>
      <c r="L440" s="78">
        <f t="shared" si="53"/>
        <v>0</v>
      </c>
      <c r="M440" s="78">
        <f t="shared" si="54"/>
        <v>0</v>
      </c>
      <c r="N440" s="78">
        <f t="shared" si="55"/>
        <v>0</v>
      </c>
      <c r="O440" s="79">
        <f t="shared" si="56"/>
        <v>0</v>
      </c>
    </row>
    <row r="441" spans="2:15" s="61" customFormat="1" ht="19" customHeight="1" x14ac:dyDescent="0.2">
      <c r="B441" s="24"/>
      <c r="C441" s="24"/>
      <c r="D441" s="36"/>
      <c r="E441" s="24"/>
      <c r="F441" s="77" t="str">
        <f t="shared" si="49"/>
        <v/>
      </c>
      <c r="G441" s="24"/>
      <c r="I441" s="78">
        <f t="shared" si="50"/>
        <v>0</v>
      </c>
      <c r="J441" s="78">
        <f t="shared" si="51"/>
        <v>0</v>
      </c>
      <c r="K441" s="78">
        <f t="shared" si="52"/>
        <v>0</v>
      </c>
      <c r="L441" s="78">
        <f t="shared" si="53"/>
        <v>0</v>
      </c>
      <c r="M441" s="78">
        <f t="shared" si="54"/>
        <v>0</v>
      </c>
      <c r="N441" s="78">
        <f t="shared" si="55"/>
        <v>0</v>
      </c>
      <c r="O441" s="79">
        <f t="shared" si="56"/>
        <v>0</v>
      </c>
    </row>
    <row r="442" spans="2:15" s="61" customFormat="1" ht="19" customHeight="1" x14ac:dyDescent="0.2">
      <c r="B442" s="24"/>
      <c r="C442" s="24"/>
      <c r="D442" s="36"/>
      <c r="E442" s="24"/>
      <c r="F442" s="77" t="str">
        <f t="shared" si="49"/>
        <v/>
      </c>
      <c r="G442" s="24"/>
      <c r="I442" s="78">
        <f t="shared" si="50"/>
        <v>0</v>
      </c>
      <c r="J442" s="78">
        <f t="shared" si="51"/>
        <v>0</v>
      </c>
      <c r="K442" s="78">
        <f t="shared" si="52"/>
        <v>0</v>
      </c>
      <c r="L442" s="78">
        <f t="shared" si="53"/>
        <v>0</v>
      </c>
      <c r="M442" s="78">
        <f t="shared" si="54"/>
        <v>0</v>
      </c>
      <c r="N442" s="78">
        <f t="shared" si="55"/>
        <v>0</v>
      </c>
      <c r="O442" s="79">
        <f t="shared" si="56"/>
        <v>0</v>
      </c>
    </row>
    <row r="443" spans="2:15" s="61" customFormat="1" ht="19" customHeight="1" x14ac:dyDescent="0.2">
      <c r="B443" s="24"/>
      <c r="C443" s="24"/>
      <c r="D443" s="36"/>
      <c r="E443" s="24"/>
      <c r="F443" s="77" t="str">
        <f t="shared" si="49"/>
        <v/>
      </c>
      <c r="G443" s="24"/>
      <c r="I443" s="78">
        <f t="shared" si="50"/>
        <v>0</v>
      </c>
      <c r="J443" s="78">
        <f t="shared" si="51"/>
        <v>0</v>
      </c>
      <c r="K443" s="78">
        <f t="shared" si="52"/>
        <v>0</v>
      </c>
      <c r="L443" s="78">
        <f t="shared" si="53"/>
        <v>0</v>
      </c>
      <c r="M443" s="78">
        <f t="shared" si="54"/>
        <v>0</v>
      </c>
      <c r="N443" s="78">
        <f t="shared" si="55"/>
        <v>0</v>
      </c>
      <c r="O443" s="79">
        <f t="shared" si="56"/>
        <v>0</v>
      </c>
    </row>
    <row r="444" spans="2:15" s="61" customFormat="1" ht="19" customHeight="1" x14ac:dyDescent="0.2">
      <c r="B444" s="24"/>
      <c r="C444" s="24"/>
      <c r="D444" s="36"/>
      <c r="E444" s="24"/>
      <c r="F444" s="77" t="str">
        <f t="shared" si="49"/>
        <v/>
      </c>
      <c r="G444" s="24"/>
      <c r="I444" s="78">
        <f t="shared" si="50"/>
        <v>0</v>
      </c>
      <c r="J444" s="78">
        <f t="shared" si="51"/>
        <v>0</v>
      </c>
      <c r="K444" s="78">
        <f t="shared" si="52"/>
        <v>0</v>
      </c>
      <c r="L444" s="78">
        <f t="shared" si="53"/>
        <v>0</v>
      </c>
      <c r="M444" s="78">
        <f t="shared" si="54"/>
        <v>0</v>
      </c>
      <c r="N444" s="78">
        <f t="shared" si="55"/>
        <v>0</v>
      </c>
      <c r="O444" s="79">
        <f t="shared" si="56"/>
        <v>0</v>
      </c>
    </row>
    <row r="445" spans="2:15" s="61" customFormat="1" ht="19" customHeight="1" x14ac:dyDescent="0.2">
      <c r="B445" s="24"/>
      <c r="C445" s="24"/>
      <c r="D445" s="36"/>
      <c r="E445" s="24"/>
      <c r="F445" s="77" t="str">
        <f t="shared" si="49"/>
        <v/>
      </c>
      <c r="G445" s="24"/>
      <c r="I445" s="78">
        <f t="shared" si="50"/>
        <v>0</v>
      </c>
      <c r="J445" s="78">
        <f t="shared" si="51"/>
        <v>0</v>
      </c>
      <c r="K445" s="78">
        <f t="shared" si="52"/>
        <v>0</v>
      </c>
      <c r="L445" s="78">
        <f t="shared" si="53"/>
        <v>0</v>
      </c>
      <c r="M445" s="78">
        <f t="shared" si="54"/>
        <v>0</v>
      </c>
      <c r="N445" s="78">
        <f t="shared" si="55"/>
        <v>0</v>
      </c>
      <c r="O445" s="79">
        <f t="shared" si="56"/>
        <v>0</v>
      </c>
    </row>
    <row r="446" spans="2:15" s="61" customFormat="1" ht="19" customHeight="1" x14ac:dyDescent="0.2">
      <c r="B446" s="24"/>
      <c r="C446" s="24"/>
      <c r="D446" s="36"/>
      <c r="E446" s="24"/>
      <c r="F446" s="77" t="str">
        <f t="shared" si="49"/>
        <v/>
      </c>
      <c r="G446" s="24"/>
      <c r="I446" s="78">
        <f t="shared" si="50"/>
        <v>0</v>
      </c>
      <c r="J446" s="78">
        <f t="shared" si="51"/>
        <v>0</v>
      </c>
      <c r="K446" s="78">
        <f t="shared" si="52"/>
        <v>0</v>
      </c>
      <c r="L446" s="78">
        <f t="shared" si="53"/>
        <v>0</v>
      </c>
      <c r="M446" s="78">
        <f t="shared" si="54"/>
        <v>0</v>
      </c>
      <c r="N446" s="78">
        <f t="shared" si="55"/>
        <v>0</v>
      </c>
      <c r="O446" s="79">
        <f t="shared" si="56"/>
        <v>0</v>
      </c>
    </row>
    <row r="447" spans="2:15" s="61" customFormat="1" ht="19" customHeight="1" x14ac:dyDescent="0.2">
      <c r="B447" s="24"/>
      <c r="C447" s="24"/>
      <c r="D447" s="36"/>
      <c r="E447" s="24"/>
      <c r="F447" s="77" t="str">
        <f t="shared" si="49"/>
        <v/>
      </c>
      <c r="G447" s="24"/>
      <c r="I447" s="78">
        <f t="shared" si="50"/>
        <v>0</v>
      </c>
      <c r="J447" s="78">
        <f t="shared" si="51"/>
        <v>0</v>
      </c>
      <c r="K447" s="78">
        <f t="shared" si="52"/>
        <v>0</v>
      </c>
      <c r="L447" s="78">
        <f t="shared" si="53"/>
        <v>0</v>
      </c>
      <c r="M447" s="78">
        <f t="shared" si="54"/>
        <v>0</v>
      </c>
      <c r="N447" s="78">
        <f t="shared" si="55"/>
        <v>0</v>
      </c>
      <c r="O447" s="79">
        <f t="shared" si="56"/>
        <v>0</v>
      </c>
    </row>
    <row r="448" spans="2:15" s="61" customFormat="1" ht="19" customHeight="1" x14ac:dyDescent="0.2">
      <c r="B448" s="24"/>
      <c r="C448" s="24"/>
      <c r="D448" s="36"/>
      <c r="E448" s="24"/>
      <c r="F448" s="77" t="str">
        <f t="shared" si="49"/>
        <v/>
      </c>
      <c r="G448" s="24"/>
      <c r="I448" s="78">
        <f t="shared" si="50"/>
        <v>0</v>
      </c>
      <c r="J448" s="78">
        <f t="shared" si="51"/>
        <v>0</v>
      </c>
      <c r="K448" s="78">
        <f t="shared" si="52"/>
        <v>0</v>
      </c>
      <c r="L448" s="78">
        <f t="shared" si="53"/>
        <v>0</v>
      </c>
      <c r="M448" s="78">
        <f t="shared" si="54"/>
        <v>0</v>
      </c>
      <c r="N448" s="78">
        <f t="shared" si="55"/>
        <v>0</v>
      </c>
      <c r="O448" s="79">
        <f t="shared" si="56"/>
        <v>0</v>
      </c>
    </row>
    <row r="449" spans="2:15" s="61" customFormat="1" ht="19" customHeight="1" x14ac:dyDescent="0.2">
      <c r="B449" s="24"/>
      <c r="C449" s="24"/>
      <c r="D449" s="36"/>
      <c r="E449" s="24"/>
      <c r="F449" s="77" t="str">
        <f t="shared" si="49"/>
        <v/>
      </c>
      <c r="G449" s="24"/>
      <c r="I449" s="78">
        <f t="shared" si="50"/>
        <v>0</v>
      </c>
      <c r="J449" s="78">
        <f t="shared" si="51"/>
        <v>0</v>
      </c>
      <c r="K449" s="78">
        <f t="shared" si="52"/>
        <v>0</v>
      </c>
      <c r="L449" s="78">
        <f t="shared" si="53"/>
        <v>0</v>
      </c>
      <c r="M449" s="78">
        <f t="shared" si="54"/>
        <v>0</v>
      </c>
      <c r="N449" s="78">
        <f t="shared" si="55"/>
        <v>0</v>
      </c>
      <c r="O449" s="79">
        <f t="shared" si="56"/>
        <v>0</v>
      </c>
    </row>
    <row r="450" spans="2:15" s="61" customFormat="1" ht="19" customHeight="1" x14ac:dyDescent="0.2">
      <c r="B450" s="24"/>
      <c r="C450" s="24"/>
      <c r="D450" s="36"/>
      <c r="E450" s="24"/>
      <c r="F450" s="77" t="str">
        <f t="shared" si="49"/>
        <v/>
      </c>
      <c r="G450" s="24"/>
      <c r="I450" s="78">
        <f t="shared" si="50"/>
        <v>0</v>
      </c>
      <c r="J450" s="78">
        <f t="shared" si="51"/>
        <v>0</v>
      </c>
      <c r="K450" s="78">
        <f t="shared" si="52"/>
        <v>0</v>
      </c>
      <c r="L450" s="78">
        <f t="shared" si="53"/>
        <v>0</v>
      </c>
      <c r="M450" s="78">
        <f t="shared" si="54"/>
        <v>0</v>
      </c>
      <c r="N450" s="78">
        <f t="shared" si="55"/>
        <v>0</v>
      </c>
      <c r="O450" s="79">
        <f t="shared" si="56"/>
        <v>0</v>
      </c>
    </row>
    <row r="451" spans="2:15" s="61" customFormat="1" ht="19" customHeight="1" x14ac:dyDescent="0.2">
      <c r="B451" s="24"/>
      <c r="C451" s="24"/>
      <c r="D451" s="36"/>
      <c r="E451" s="24"/>
      <c r="F451" s="77" t="str">
        <f t="shared" si="49"/>
        <v/>
      </c>
      <c r="G451" s="24"/>
      <c r="I451" s="78">
        <f t="shared" si="50"/>
        <v>0</v>
      </c>
      <c r="J451" s="78">
        <f t="shared" si="51"/>
        <v>0</v>
      </c>
      <c r="K451" s="78">
        <f t="shared" si="52"/>
        <v>0</v>
      </c>
      <c r="L451" s="78">
        <f t="shared" si="53"/>
        <v>0</v>
      </c>
      <c r="M451" s="78">
        <f t="shared" si="54"/>
        <v>0</v>
      </c>
      <c r="N451" s="78">
        <f t="shared" si="55"/>
        <v>0</v>
      </c>
      <c r="O451" s="79">
        <f t="shared" si="56"/>
        <v>0</v>
      </c>
    </row>
    <row r="452" spans="2:15" s="61" customFormat="1" ht="19" customHeight="1" x14ac:dyDescent="0.2">
      <c r="B452" s="24"/>
      <c r="C452" s="24"/>
      <c r="D452" s="36"/>
      <c r="E452" s="24"/>
      <c r="F452" s="77" t="str">
        <f t="shared" si="49"/>
        <v/>
      </c>
      <c r="G452" s="24"/>
      <c r="I452" s="78">
        <f t="shared" si="50"/>
        <v>0</v>
      </c>
      <c r="J452" s="78">
        <f t="shared" si="51"/>
        <v>0</v>
      </c>
      <c r="K452" s="78">
        <f t="shared" si="52"/>
        <v>0</v>
      </c>
      <c r="L452" s="78">
        <f t="shared" si="53"/>
        <v>0</v>
      </c>
      <c r="M452" s="78">
        <f t="shared" si="54"/>
        <v>0</v>
      </c>
      <c r="N452" s="78">
        <f t="shared" si="55"/>
        <v>0</v>
      </c>
      <c r="O452" s="79">
        <f t="shared" si="56"/>
        <v>0</v>
      </c>
    </row>
    <row r="453" spans="2:15" s="61" customFormat="1" ht="19" customHeight="1" x14ac:dyDescent="0.2">
      <c r="B453" s="24"/>
      <c r="C453" s="24"/>
      <c r="D453" s="36"/>
      <c r="E453" s="24"/>
      <c r="F453" s="77" t="str">
        <f t="shared" si="49"/>
        <v/>
      </c>
      <c r="G453" s="24"/>
      <c r="I453" s="78">
        <f t="shared" si="50"/>
        <v>0</v>
      </c>
      <c r="J453" s="78">
        <f t="shared" si="51"/>
        <v>0</v>
      </c>
      <c r="K453" s="78">
        <f t="shared" si="52"/>
        <v>0</v>
      </c>
      <c r="L453" s="78">
        <f t="shared" si="53"/>
        <v>0</v>
      </c>
      <c r="M453" s="78">
        <f t="shared" si="54"/>
        <v>0</v>
      </c>
      <c r="N453" s="78">
        <f t="shared" si="55"/>
        <v>0</v>
      </c>
      <c r="O453" s="79">
        <f t="shared" si="56"/>
        <v>0</v>
      </c>
    </row>
    <row r="454" spans="2:15" s="61" customFormat="1" ht="19" customHeight="1" x14ac:dyDescent="0.2">
      <c r="B454" s="24"/>
      <c r="C454" s="24"/>
      <c r="D454" s="36"/>
      <c r="E454" s="24"/>
      <c r="F454" s="77" t="str">
        <f t="shared" si="49"/>
        <v/>
      </c>
      <c r="G454" s="24"/>
      <c r="I454" s="78">
        <f t="shared" si="50"/>
        <v>0</v>
      </c>
      <c r="J454" s="78">
        <f t="shared" si="51"/>
        <v>0</v>
      </c>
      <c r="K454" s="78">
        <f t="shared" si="52"/>
        <v>0</v>
      </c>
      <c r="L454" s="78">
        <f t="shared" si="53"/>
        <v>0</v>
      </c>
      <c r="M454" s="78">
        <f t="shared" si="54"/>
        <v>0</v>
      </c>
      <c r="N454" s="78">
        <f t="shared" si="55"/>
        <v>0</v>
      </c>
      <c r="O454" s="79">
        <f t="shared" si="56"/>
        <v>0</v>
      </c>
    </row>
    <row r="455" spans="2:15" s="61" customFormat="1" ht="19" customHeight="1" x14ac:dyDescent="0.2">
      <c r="B455" s="24"/>
      <c r="C455" s="24"/>
      <c r="D455" s="36"/>
      <c r="E455" s="24"/>
      <c r="F455" s="77" t="str">
        <f t="shared" si="49"/>
        <v/>
      </c>
      <c r="G455" s="24"/>
      <c r="I455" s="78">
        <f t="shared" si="50"/>
        <v>0</v>
      </c>
      <c r="J455" s="78">
        <f t="shared" si="51"/>
        <v>0</v>
      </c>
      <c r="K455" s="78">
        <f t="shared" si="52"/>
        <v>0</v>
      </c>
      <c r="L455" s="78">
        <f t="shared" si="53"/>
        <v>0</v>
      </c>
      <c r="M455" s="78">
        <f t="shared" si="54"/>
        <v>0</v>
      </c>
      <c r="N455" s="78">
        <f t="shared" si="55"/>
        <v>0</v>
      </c>
      <c r="O455" s="79">
        <f t="shared" si="56"/>
        <v>0</v>
      </c>
    </row>
    <row r="456" spans="2:15" s="61" customFormat="1" ht="19" customHeight="1" x14ac:dyDescent="0.2">
      <c r="B456" s="24"/>
      <c r="C456" s="24"/>
      <c r="D456" s="36"/>
      <c r="E456" s="24"/>
      <c r="F456" s="77" t="str">
        <f t="shared" si="49"/>
        <v/>
      </c>
      <c r="G456" s="24"/>
      <c r="I456" s="78">
        <f t="shared" si="50"/>
        <v>0</v>
      </c>
      <c r="J456" s="78">
        <f t="shared" si="51"/>
        <v>0</v>
      </c>
      <c r="K456" s="78">
        <f t="shared" si="52"/>
        <v>0</v>
      </c>
      <c r="L456" s="78">
        <f t="shared" si="53"/>
        <v>0</v>
      </c>
      <c r="M456" s="78">
        <f t="shared" si="54"/>
        <v>0</v>
      </c>
      <c r="N456" s="78">
        <f t="shared" si="55"/>
        <v>0</v>
      </c>
      <c r="O456" s="79">
        <f t="shared" si="56"/>
        <v>0</v>
      </c>
    </row>
    <row r="457" spans="2:15" s="61" customFormat="1" ht="19" customHeight="1" x14ac:dyDescent="0.2">
      <c r="B457" s="24"/>
      <c r="C457" s="24"/>
      <c r="D457" s="36"/>
      <c r="E457" s="24"/>
      <c r="F457" s="77" t="str">
        <f t="shared" si="49"/>
        <v/>
      </c>
      <c r="G457" s="24"/>
      <c r="I457" s="78">
        <f t="shared" si="50"/>
        <v>0</v>
      </c>
      <c r="J457" s="78">
        <f t="shared" si="51"/>
        <v>0</v>
      </c>
      <c r="K457" s="78">
        <f t="shared" si="52"/>
        <v>0</v>
      </c>
      <c r="L457" s="78">
        <f t="shared" si="53"/>
        <v>0</v>
      </c>
      <c r="M457" s="78">
        <f t="shared" si="54"/>
        <v>0</v>
      </c>
      <c r="N457" s="78">
        <f t="shared" si="55"/>
        <v>0</v>
      </c>
      <c r="O457" s="79">
        <f t="shared" si="56"/>
        <v>0</v>
      </c>
    </row>
    <row r="458" spans="2:15" s="61" customFormat="1" ht="19" customHeight="1" x14ac:dyDescent="0.2">
      <c r="B458" s="24"/>
      <c r="C458" s="24"/>
      <c r="D458" s="36"/>
      <c r="E458" s="24"/>
      <c r="F458" s="77" t="str">
        <f t="shared" si="49"/>
        <v/>
      </c>
      <c r="G458" s="24"/>
      <c r="I458" s="78">
        <f t="shared" si="50"/>
        <v>0</v>
      </c>
      <c r="J458" s="78">
        <f t="shared" si="51"/>
        <v>0</v>
      </c>
      <c r="K458" s="78">
        <f t="shared" si="52"/>
        <v>0</v>
      </c>
      <c r="L458" s="78">
        <f t="shared" si="53"/>
        <v>0</v>
      </c>
      <c r="M458" s="78">
        <f t="shared" si="54"/>
        <v>0</v>
      </c>
      <c r="N458" s="78">
        <f t="shared" si="55"/>
        <v>0</v>
      </c>
      <c r="O458" s="79">
        <f t="shared" si="56"/>
        <v>0</v>
      </c>
    </row>
    <row r="459" spans="2:15" s="61" customFormat="1" ht="19" customHeight="1" x14ac:dyDescent="0.2">
      <c r="B459" s="24"/>
      <c r="C459" s="24"/>
      <c r="D459" s="36"/>
      <c r="E459" s="24"/>
      <c r="F459" s="77" t="str">
        <f t="shared" ref="F459:F500" si="57">IF(E459="","",IFERROR(VLOOKUP(E459,zone,2,0),""))</f>
        <v/>
      </c>
      <c r="G459" s="24"/>
      <c r="I459" s="78">
        <f t="shared" si="50"/>
        <v>0</v>
      </c>
      <c r="J459" s="78">
        <f t="shared" si="51"/>
        <v>0</v>
      </c>
      <c r="K459" s="78">
        <f t="shared" si="52"/>
        <v>0</v>
      </c>
      <c r="L459" s="78">
        <f t="shared" si="53"/>
        <v>0</v>
      </c>
      <c r="M459" s="78">
        <f t="shared" si="54"/>
        <v>0</v>
      </c>
      <c r="N459" s="78">
        <f t="shared" si="55"/>
        <v>0</v>
      </c>
      <c r="O459" s="79">
        <f t="shared" si="56"/>
        <v>0</v>
      </c>
    </row>
    <row r="460" spans="2:15" s="61" customFormat="1" ht="19" customHeight="1" x14ac:dyDescent="0.2">
      <c r="B460" s="24"/>
      <c r="C460" s="24"/>
      <c r="D460" s="36"/>
      <c r="E460" s="24"/>
      <c r="F460" s="77" t="str">
        <f t="shared" si="57"/>
        <v/>
      </c>
      <c r="G460" s="24"/>
      <c r="I460" s="78">
        <f t="shared" ref="I460:I500" si="58">IF(B460="",0,1)</f>
        <v>0</v>
      </c>
      <c r="J460" s="78">
        <f t="shared" ref="J460:J500" si="59">IF(C460="",0,1)</f>
        <v>0</v>
      </c>
      <c r="K460" s="78">
        <f t="shared" ref="K460:K500" si="60">IF(D460="",0,1)</f>
        <v>0</v>
      </c>
      <c r="L460" s="78">
        <f t="shared" ref="L460:L500" si="61">IF(E460="",0,1)</f>
        <v>0</v>
      </c>
      <c r="M460" s="78">
        <f t="shared" ref="M460:M500" si="62">IF(F460="",0,1)</f>
        <v>0</v>
      </c>
      <c r="N460" s="78">
        <f t="shared" ref="N460:N500" si="63">IF(G460="",0,1)</f>
        <v>0</v>
      </c>
      <c r="O460" s="79">
        <f t="shared" ref="O460:O500" si="64">SUM(I460:N460)</f>
        <v>0</v>
      </c>
    </row>
    <row r="461" spans="2:15" s="61" customFormat="1" ht="19" customHeight="1" x14ac:dyDescent="0.2">
      <c r="B461" s="24"/>
      <c r="C461" s="24"/>
      <c r="D461" s="36"/>
      <c r="E461" s="24"/>
      <c r="F461" s="77" t="str">
        <f t="shared" si="57"/>
        <v/>
      </c>
      <c r="G461" s="24"/>
      <c r="I461" s="78">
        <f t="shared" si="58"/>
        <v>0</v>
      </c>
      <c r="J461" s="78">
        <f t="shared" si="59"/>
        <v>0</v>
      </c>
      <c r="K461" s="78">
        <f t="shared" si="60"/>
        <v>0</v>
      </c>
      <c r="L461" s="78">
        <f t="shared" si="61"/>
        <v>0</v>
      </c>
      <c r="M461" s="78">
        <f t="shared" si="62"/>
        <v>0</v>
      </c>
      <c r="N461" s="78">
        <f t="shared" si="63"/>
        <v>0</v>
      </c>
      <c r="O461" s="79">
        <f t="shared" si="64"/>
        <v>0</v>
      </c>
    </row>
    <row r="462" spans="2:15" s="61" customFormat="1" ht="19" customHeight="1" x14ac:dyDescent="0.2">
      <c r="B462" s="24"/>
      <c r="C462" s="24"/>
      <c r="D462" s="36"/>
      <c r="E462" s="24"/>
      <c r="F462" s="77" t="str">
        <f t="shared" si="57"/>
        <v/>
      </c>
      <c r="G462" s="24"/>
      <c r="I462" s="78">
        <f t="shared" si="58"/>
        <v>0</v>
      </c>
      <c r="J462" s="78">
        <f t="shared" si="59"/>
        <v>0</v>
      </c>
      <c r="K462" s="78">
        <f t="shared" si="60"/>
        <v>0</v>
      </c>
      <c r="L462" s="78">
        <f t="shared" si="61"/>
        <v>0</v>
      </c>
      <c r="M462" s="78">
        <f t="shared" si="62"/>
        <v>0</v>
      </c>
      <c r="N462" s="78">
        <f t="shared" si="63"/>
        <v>0</v>
      </c>
      <c r="O462" s="79">
        <f t="shared" si="64"/>
        <v>0</v>
      </c>
    </row>
    <row r="463" spans="2:15" s="61" customFormat="1" ht="19" customHeight="1" x14ac:dyDescent="0.2">
      <c r="B463" s="24"/>
      <c r="C463" s="24"/>
      <c r="D463" s="36"/>
      <c r="E463" s="24"/>
      <c r="F463" s="77" t="str">
        <f t="shared" si="57"/>
        <v/>
      </c>
      <c r="G463" s="24"/>
      <c r="I463" s="78">
        <f t="shared" si="58"/>
        <v>0</v>
      </c>
      <c r="J463" s="78">
        <f t="shared" si="59"/>
        <v>0</v>
      </c>
      <c r="K463" s="78">
        <f t="shared" si="60"/>
        <v>0</v>
      </c>
      <c r="L463" s="78">
        <f t="shared" si="61"/>
        <v>0</v>
      </c>
      <c r="M463" s="78">
        <f t="shared" si="62"/>
        <v>0</v>
      </c>
      <c r="N463" s="78">
        <f t="shared" si="63"/>
        <v>0</v>
      </c>
      <c r="O463" s="79">
        <f t="shared" si="64"/>
        <v>0</v>
      </c>
    </row>
    <row r="464" spans="2:15" s="61" customFormat="1" ht="19" customHeight="1" x14ac:dyDescent="0.2">
      <c r="B464" s="24"/>
      <c r="C464" s="24"/>
      <c r="D464" s="36"/>
      <c r="E464" s="24"/>
      <c r="F464" s="77" t="str">
        <f t="shared" si="57"/>
        <v/>
      </c>
      <c r="G464" s="24"/>
      <c r="I464" s="78">
        <f t="shared" si="58"/>
        <v>0</v>
      </c>
      <c r="J464" s="78">
        <f t="shared" si="59"/>
        <v>0</v>
      </c>
      <c r="K464" s="78">
        <f t="shared" si="60"/>
        <v>0</v>
      </c>
      <c r="L464" s="78">
        <f t="shared" si="61"/>
        <v>0</v>
      </c>
      <c r="M464" s="78">
        <f t="shared" si="62"/>
        <v>0</v>
      </c>
      <c r="N464" s="78">
        <f t="shared" si="63"/>
        <v>0</v>
      </c>
      <c r="O464" s="79">
        <f t="shared" si="64"/>
        <v>0</v>
      </c>
    </row>
    <row r="465" spans="2:15" s="61" customFormat="1" ht="19" customHeight="1" x14ac:dyDescent="0.2">
      <c r="B465" s="24"/>
      <c r="C465" s="24"/>
      <c r="D465" s="36"/>
      <c r="E465" s="24"/>
      <c r="F465" s="77" t="str">
        <f t="shared" si="57"/>
        <v/>
      </c>
      <c r="G465" s="24"/>
      <c r="I465" s="78">
        <f t="shared" si="58"/>
        <v>0</v>
      </c>
      <c r="J465" s="78">
        <f t="shared" si="59"/>
        <v>0</v>
      </c>
      <c r="K465" s="78">
        <f t="shared" si="60"/>
        <v>0</v>
      </c>
      <c r="L465" s="78">
        <f t="shared" si="61"/>
        <v>0</v>
      </c>
      <c r="M465" s="78">
        <f t="shared" si="62"/>
        <v>0</v>
      </c>
      <c r="N465" s="78">
        <f t="shared" si="63"/>
        <v>0</v>
      </c>
      <c r="O465" s="79">
        <f t="shared" si="64"/>
        <v>0</v>
      </c>
    </row>
    <row r="466" spans="2:15" s="61" customFormat="1" ht="19" customHeight="1" x14ac:dyDescent="0.2">
      <c r="B466" s="24"/>
      <c r="C466" s="24"/>
      <c r="D466" s="36"/>
      <c r="E466" s="24"/>
      <c r="F466" s="77" t="str">
        <f t="shared" si="57"/>
        <v/>
      </c>
      <c r="G466" s="24"/>
      <c r="I466" s="78">
        <f t="shared" si="58"/>
        <v>0</v>
      </c>
      <c r="J466" s="78">
        <f t="shared" si="59"/>
        <v>0</v>
      </c>
      <c r="K466" s="78">
        <f t="shared" si="60"/>
        <v>0</v>
      </c>
      <c r="L466" s="78">
        <f t="shared" si="61"/>
        <v>0</v>
      </c>
      <c r="M466" s="78">
        <f t="shared" si="62"/>
        <v>0</v>
      </c>
      <c r="N466" s="78">
        <f t="shared" si="63"/>
        <v>0</v>
      </c>
      <c r="O466" s="79">
        <f t="shared" si="64"/>
        <v>0</v>
      </c>
    </row>
    <row r="467" spans="2:15" s="61" customFormat="1" ht="19" customHeight="1" x14ac:dyDescent="0.2">
      <c r="B467" s="24"/>
      <c r="C467" s="24"/>
      <c r="D467" s="36"/>
      <c r="E467" s="24"/>
      <c r="F467" s="77" t="str">
        <f t="shared" si="57"/>
        <v/>
      </c>
      <c r="G467" s="24"/>
      <c r="I467" s="78">
        <f t="shared" si="58"/>
        <v>0</v>
      </c>
      <c r="J467" s="78">
        <f t="shared" si="59"/>
        <v>0</v>
      </c>
      <c r="K467" s="78">
        <f t="shared" si="60"/>
        <v>0</v>
      </c>
      <c r="L467" s="78">
        <f t="shared" si="61"/>
        <v>0</v>
      </c>
      <c r="M467" s="78">
        <f t="shared" si="62"/>
        <v>0</v>
      </c>
      <c r="N467" s="78">
        <f t="shared" si="63"/>
        <v>0</v>
      </c>
      <c r="O467" s="79">
        <f t="shared" si="64"/>
        <v>0</v>
      </c>
    </row>
    <row r="468" spans="2:15" s="61" customFormat="1" ht="19" customHeight="1" x14ac:dyDescent="0.2">
      <c r="B468" s="24"/>
      <c r="C468" s="24"/>
      <c r="D468" s="36"/>
      <c r="E468" s="24"/>
      <c r="F468" s="77" t="str">
        <f t="shared" si="57"/>
        <v/>
      </c>
      <c r="G468" s="24"/>
      <c r="I468" s="78">
        <f t="shared" si="58"/>
        <v>0</v>
      </c>
      <c r="J468" s="78">
        <f t="shared" si="59"/>
        <v>0</v>
      </c>
      <c r="K468" s="78">
        <f t="shared" si="60"/>
        <v>0</v>
      </c>
      <c r="L468" s="78">
        <f t="shared" si="61"/>
        <v>0</v>
      </c>
      <c r="M468" s="78">
        <f t="shared" si="62"/>
        <v>0</v>
      </c>
      <c r="N468" s="78">
        <f t="shared" si="63"/>
        <v>0</v>
      </c>
      <c r="O468" s="79">
        <f t="shared" si="64"/>
        <v>0</v>
      </c>
    </row>
    <row r="469" spans="2:15" s="61" customFormat="1" ht="19" customHeight="1" x14ac:dyDescent="0.2">
      <c r="B469" s="24"/>
      <c r="C469" s="24"/>
      <c r="D469" s="36"/>
      <c r="E469" s="24"/>
      <c r="F469" s="77" t="str">
        <f t="shared" si="57"/>
        <v/>
      </c>
      <c r="G469" s="24"/>
      <c r="I469" s="78">
        <f t="shared" si="58"/>
        <v>0</v>
      </c>
      <c r="J469" s="78">
        <f t="shared" si="59"/>
        <v>0</v>
      </c>
      <c r="K469" s="78">
        <f t="shared" si="60"/>
        <v>0</v>
      </c>
      <c r="L469" s="78">
        <f t="shared" si="61"/>
        <v>0</v>
      </c>
      <c r="M469" s="78">
        <f t="shared" si="62"/>
        <v>0</v>
      </c>
      <c r="N469" s="78">
        <f t="shared" si="63"/>
        <v>0</v>
      </c>
      <c r="O469" s="79">
        <f t="shared" si="64"/>
        <v>0</v>
      </c>
    </row>
    <row r="470" spans="2:15" s="61" customFormat="1" ht="19" customHeight="1" x14ac:dyDescent="0.2">
      <c r="B470" s="24"/>
      <c r="C470" s="24"/>
      <c r="D470" s="36"/>
      <c r="E470" s="24"/>
      <c r="F470" s="77" t="str">
        <f t="shared" si="57"/>
        <v/>
      </c>
      <c r="G470" s="24"/>
      <c r="I470" s="78">
        <f t="shared" si="58"/>
        <v>0</v>
      </c>
      <c r="J470" s="78">
        <f t="shared" si="59"/>
        <v>0</v>
      </c>
      <c r="K470" s="78">
        <f t="shared" si="60"/>
        <v>0</v>
      </c>
      <c r="L470" s="78">
        <f t="shared" si="61"/>
        <v>0</v>
      </c>
      <c r="M470" s="78">
        <f t="shared" si="62"/>
        <v>0</v>
      </c>
      <c r="N470" s="78">
        <f t="shared" si="63"/>
        <v>0</v>
      </c>
      <c r="O470" s="79">
        <f t="shared" si="64"/>
        <v>0</v>
      </c>
    </row>
    <row r="471" spans="2:15" s="61" customFormat="1" ht="19" customHeight="1" x14ac:dyDescent="0.2">
      <c r="B471" s="24"/>
      <c r="C471" s="24"/>
      <c r="D471" s="36"/>
      <c r="E471" s="24"/>
      <c r="F471" s="77" t="str">
        <f t="shared" si="57"/>
        <v/>
      </c>
      <c r="G471" s="24"/>
      <c r="I471" s="78">
        <f t="shared" si="58"/>
        <v>0</v>
      </c>
      <c r="J471" s="78">
        <f t="shared" si="59"/>
        <v>0</v>
      </c>
      <c r="K471" s="78">
        <f t="shared" si="60"/>
        <v>0</v>
      </c>
      <c r="L471" s="78">
        <f t="shared" si="61"/>
        <v>0</v>
      </c>
      <c r="M471" s="78">
        <f t="shared" si="62"/>
        <v>0</v>
      </c>
      <c r="N471" s="78">
        <f t="shared" si="63"/>
        <v>0</v>
      </c>
      <c r="O471" s="79">
        <f t="shared" si="64"/>
        <v>0</v>
      </c>
    </row>
    <row r="472" spans="2:15" s="61" customFormat="1" ht="19" customHeight="1" x14ac:dyDescent="0.2">
      <c r="B472" s="24"/>
      <c r="C472" s="24"/>
      <c r="D472" s="36"/>
      <c r="E472" s="24"/>
      <c r="F472" s="77" t="str">
        <f t="shared" si="57"/>
        <v/>
      </c>
      <c r="G472" s="24"/>
      <c r="I472" s="78">
        <f t="shared" si="58"/>
        <v>0</v>
      </c>
      <c r="J472" s="78">
        <f t="shared" si="59"/>
        <v>0</v>
      </c>
      <c r="K472" s="78">
        <f t="shared" si="60"/>
        <v>0</v>
      </c>
      <c r="L472" s="78">
        <f t="shared" si="61"/>
        <v>0</v>
      </c>
      <c r="M472" s="78">
        <f t="shared" si="62"/>
        <v>0</v>
      </c>
      <c r="N472" s="78">
        <f t="shared" si="63"/>
        <v>0</v>
      </c>
      <c r="O472" s="79">
        <f t="shared" si="64"/>
        <v>0</v>
      </c>
    </row>
    <row r="473" spans="2:15" s="61" customFormat="1" ht="19" customHeight="1" x14ac:dyDescent="0.2">
      <c r="B473" s="24"/>
      <c r="C473" s="24"/>
      <c r="D473" s="36"/>
      <c r="E473" s="24"/>
      <c r="F473" s="77" t="str">
        <f t="shared" si="57"/>
        <v/>
      </c>
      <c r="G473" s="24"/>
      <c r="I473" s="78">
        <f t="shared" si="58"/>
        <v>0</v>
      </c>
      <c r="J473" s="78">
        <f t="shared" si="59"/>
        <v>0</v>
      </c>
      <c r="K473" s="78">
        <f t="shared" si="60"/>
        <v>0</v>
      </c>
      <c r="L473" s="78">
        <f t="shared" si="61"/>
        <v>0</v>
      </c>
      <c r="M473" s="78">
        <f t="shared" si="62"/>
        <v>0</v>
      </c>
      <c r="N473" s="78">
        <f t="shared" si="63"/>
        <v>0</v>
      </c>
      <c r="O473" s="79">
        <f t="shared" si="64"/>
        <v>0</v>
      </c>
    </row>
    <row r="474" spans="2:15" s="61" customFormat="1" ht="19" customHeight="1" x14ac:dyDescent="0.2">
      <c r="B474" s="24"/>
      <c r="C474" s="24"/>
      <c r="D474" s="36"/>
      <c r="E474" s="24"/>
      <c r="F474" s="77" t="str">
        <f t="shared" si="57"/>
        <v/>
      </c>
      <c r="G474" s="24"/>
      <c r="I474" s="78">
        <f t="shared" si="58"/>
        <v>0</v>
      </c>
      <c r="J474" s="78">
        <f t="shared" si="59"/>
        <v>0</v>
      </c>
      <c r="K474" s="78">
        <f t="shared" si="60"/>
        <v>0</v>
      </c>
      <c r="L474" s="78">
        <f t="shared" si="61"/>
        <v>0</v>
      </c>
      <c r="M474" s="78">
        <f t="shared" si="62"/>
        <v>0</v>
      </c>
      <c r="N474" s="78">
        <f t="shared" si="63"/>
        <v>0</v>
      </c>
      <c r="O474" s="79">
        <f t="shared" si="64"/>
        <v>0</v>
      </c>
    </row>
    <row r="475" spans="2:15" s="61" customFormat="1" ht="19" customHeight="1" x14ac:dyDescent="0.2">
      <c r="B475" s="24"/>
      <c r="C475" s="24"/>
      <c r="D475" s="36"/>
      <c r="E475" s="24"/>
      <c r="F475" s="77" t="str">
        <f t="shared" si="57"/>
        <v/>
      </c>
      <c r="G475" s="24"/>
      <c r="I475" s="78">
        <f t="shared" si="58"/>
        <v>0</v>
      </c>
      <c r="J475" s="78">
        <f t="shared" si="59"/>
        <v>0</v>
      </c>
      <c r="K475" s="78">
        <f t="shared" si="60"/>
        <v>0</v>
      </c>
      <c r="L475" s="78">
        <f t="shared" si="61"/>
        <v>0</v>
      </c>
      <c r="M475" s="78">
        <f t="shared" si="62"/>
        <v>0</v>
      </c>
      <c r="N475" s="78">
        <f t="shared" si="63"/>
        <v>0</v>
      </c>
      <c r="O475" s="79">
        <f t="shared" si="64"/>
        <v>0</v>
      </c>
    </row>
    <row r="476" spans="2:15" s="61" customFormat="1" ht="19" customHeight="1" x14ac:dyDescent="0.2">
      <c r="B476" s="24"/>
      <c r="C476" s="24"/>
      <c r="D476" s="36"/>
      <c r="E476" s="24"/>
      <c r="F476" s="77" t="str">
        <f t="shared" si="57"/>
        <v/>
      </c>
      <c r="G476" s="24"/>
      <c r="I476" s="78">
        <f t="shared" si="58"/>
        <v>0</v>
      </c>
      <c r="J476" s="78">
        <f t="shared" si="59"/>
        <v>0</v>
      </c>
      <c r="K476" s="78">
        <f t="shared" si="60"/>
        <v>0</v>
      </c>
      <c r="L476" s="78">
        <f t="shared" si="61"/>
        <v>0</v>
      </c>
      <c r="M476" s="78">
        <f t="shared" si="62"/>
        <v>0</v>
      </c>
      <c r="N476" s="78">
        <f t="shared" si="63"/>
        <v>0</v>
      </c>
      <c r="O476" s="79">
        <f t="shared" si="64"/>
        <v>0</v>
      </c>
    </row>
    <row r="477" spans="2:15" s="61" customFormat="1" ht="19" customHeight="1" x14ac:dyDescent="0.2">
      <c r="B477" s="24"/>
      <c r="C477" s="24"/>
      <c r="D477" s="36"/>
      <c r="E477" s="24"/>
      <c r="F477" s="77" t="str">
        <f t="shared" si="57"/>
        <v/>
      </c>
      <c r="G477" s="24"/>
      <c r="I477" s="78">
        <f t="shared" si="58"/>
        <v>0</v>
      </c>
      <c r="J477" s="78">
        <f t="shared" si="59"/>
        <v>0</v>
      </c>
      <c r="K477" s="78">
        <f t="shared" si="60"/>
        <v>0</v>
      </c>
      <c r="L477" s="78">
        <f t="shared" si="61"/>
        <v>0</v>
      </c>
      <c r="M477" s="78">
        <f t="shared" si="62"/>
        <v>0</v>
      </c>
      <c r="N477" s="78">
        <f t="shared" si="63"/>
        <v>0</v>
      </c>
      <c r="O477" s="79">
        <f t="shared" si="64"/>
        <v>0</v>
      </c>
    </row>
    <row r="478" spans="2:15" s="61" customFormat="1" ht="19" customHeight="1" x14ac:dyDescent="0.2">
      <c r="B478" s="24"/>
      <c r="C478" s="24"/>
      <c r="D478" s="36"/>
      <c r="E478" s="24"/>
      <c r="F478" s="77" t="str">
        <f t="shared" si="57"/>
        <v/>
      </c>
      <c r="G478" s="24"/>
      <c r="I478" s="78">
        <f t="shared" si="58"/>
        <v>0</v>
      </c>
      <c r="J478" s="78">
        <f t="shared" si="59"/>
        <v>0</v>
      </c>
      <c r="K478" s="78">
        <f t="shared" si="60"/>
        <v>0</v>
      </c>
      <c r="L478" s="78">
        <f t="shared" si="61"/>
        <v>0</v>
      </c>
      <c r="M478" s="78">
        <f t="shared" si="62"/>
        <v>0</v>
      </c>
      <c r="N478" s="78">
        <f t="shared" si="63"/>
        <v>0</v>
      </c>
      <c r="O478" s="79">
        <f t="shared" si="64"/>
        <v>0</v>
      </c>
    </row>
    <row r="479" spans="2:15" s="61" customFormat="1" ht="19" customHeight="1" x14ac:dyDescent="0.2">
      <c r="B479" s="24"/>
      <c r="C479" s="24"/>
      <c r="D479" s="36"/>
      <c r="E479" s="24"/>
      <c r="F479" s="77" t="str">
        <f t="shared" si="57"/>
        <v/>
      </c>
      <c r="G479" s="24"/>
      <c r="I479" s="78">
        <f t="shared" si="58"/>
        <v>0</v>
      </c>
      <c r="J479" s="78">
        <f t="shared" si="59"/>
        <v>0</v>
      </c>
      <c r="K479" s="78">
        <f t="shared" si="60"/>
        <v>0</v>
      </c>
      <c r="L479" s="78">
        <f t="shared" si="61"/>
        <v>0</v>
      </c>
      <c r="M479" s="78">
        <f t="shared" si="62"/>
        <v>0</v>
      </c>
      <c r="N479" s="78">
        <f t="shared" si="63"/>
        <v>0</v>
      </c>
      <c r="O479" s="79">
        <f t="shared" si="64"/>
        <v>0</v>
      </c>
    </row>
    <row r="480" spans="2:15" s="61" customFormat="1" ht="19" customHeight="1" x14ac:dyDescent="0.2">
      <c r="B480" s="24"/>
      <c r="C480" s="24"/>
      <c r="D480" s="36"/>
      <c r="E480" s="24"/>
      <c r="F480" s="77" t="str">
        <f t="shared" si="57"/>
        <v/>
      </c>
      <c r="G480" s="24"/>
      <c r="I480" s="78">
        <f t="shared" si="58"/>
        <v>0</v>
      </c>
      <c r="J480" s="78">
        <f t="shared" si="59"/>
        <v>0</v>
      </c>
      <c r="K480" s="78">
        <f t="shared" si="60"/>
        <v>0</v>
      </c>
      <c r="L480" s="78">
        <f t="shared" si="61"/>
        <v>0</v>
      </c>
      <c r="M480" s="78">
        <f t="shared" si="62"/>
        <v>0</v>
      </c>
      <c r="N480" s="78">
        <f t="shared" si="63"/>
        <v>0</v>
      </c>
      <c r="O480" s="79">
        <f t="shared" si="64"/>
        <v>0</v>
      </c>
    </row>
    <row r="481" spans="2:15" s="61" customFormat="1" ht="19" customHeight="1" x14ac:dyDescent="0.2">
      <c r="B481" s="24"/>
      <c r="C481" s="24"/>
      <c r="D481" s="36"/>
      <c r="E481" s="24"/>
      <c r="F481" s="77" t="str">
        <f t="shared" si="57"/>
        <v/>
      </c>
      <c r="G481" s="24"/>
      <c r="I481" s="78">
        <f t="shared" si="58"/>
        <v>0</v>
      </c>
      <c r="J481" s="78">
        <f t="shared" si="59"/>
        <v>0</v>
      </c>
      <c r="K481" s="78">
        <f t="shared" si="60"/>
        <v>0</v>
      </c>
      <c r="L481" s="78">
        <f t="shared" si="61"/>
        <v>0</v>
      </c>
      <c r="M481" s="78">
        <f t="shared" si="62"/>
        <v>0</v>
      </c>
      <c r="N481" s="78">
        <f t="shared" si="63"/>
        <v>0</v>
      </c>
      <c r="O481" s="79">
        <f t="shared" si="64"/>
        <v>0</v>
      </c>
    </row>
    <row r="482" spans="2:15" s="61" customFormat="1" ht="19" customHeight="1" x14ac:dyDescent="0.2">
      <c r="B482" s="24"/>
      <c r="C482" s="24"/>
      <c r="D482" s="36"/>
      <c r="E482" s="24"/>
      <c r="F482" s="77" t="str">
        <f t="shared" si="57"/>
        <v/>
      </c>
      <c r="G482" s="24"/>
      <c r="I482" s="78">
        <f t="shared" si="58"/>
        <v>0</v>
      </c>
      <c r="J482" s="78">
        <f t="shared" si="59"/>
        <v>0</v>
      </c>
      <c r="K482" s="78">
        <f t="shared" si="60"/>
        <v>0</v>
      </c>
      <c r="L482" s="78">
        <f t="shared" si="61"/>
        <v>0</v>
      </c>
      <c r="M482" s="78">
        <f t="shared" si="62"/>
        <v>0</v>
      </c>
      <c r="N482" s="78">
        <f t="shared" si="63"/>
        <v>0</v>
      </c>
      <c r="O482" s="79">
        <f t="shared" si="64"/>
        <v>0</v>
      </c>
    </row>
    <row r="483" spans="2:15" s="61" customFormat="1" ht="19" customHeight="1" x14ac:dyDescent="0.2">
      <c r="B483" s="24"/>
      <c r="C483" s="24"/>
      <c r="D483" s="36"/>
      <c r="E483" s="24"/>
      <c r="F483" s="77" t="str">
        <f t="shared" si="57"/>
        <v/>
      </c>
      <c r="G483" s="24"/>
      <c r="I483" s="78">
        <f t="shared" si="58"/>
        <v>0</v>
      </c>
      <c r="J483" s="78">
        <f t="shared" si="59"/>
        <v>0</v>
      </c>
      <c r="K483" s="78">
        <f t="shared" si="60"/>
        <v>0</v>
      </c>
      <c r="L483" s="78">
        <f t="shared" si="61"/>
        <v>0</v>
      </c>
      <c r="M483" s="78">
        <f t="shared" si="62"/>
        <v>0</v>
      </c>
      <c r="N483" s="78">
        <f t="shared" si="63"/>
        <v>0</v>
      </c>
      <c r="O483" s="79">
        <f t="shared" si="64"/>
        <v>0</v>
      </c>
    </row>
    <row r="484" spans="2:15" s="61" customFormat="1" ht="19" customHeight="1" x14ac:dyDescent="0.2">
      <c r="B484" s="24"/>
      <c r="C484" s="24"/>
      <c r="D484" s="36"/>
      <c r="E484" s="24"/>
      <c r="F484" s="77" t="str">
        <f t="shared" si="57"/>
        <v/>
      </c>
      <c r="G484" s="24"/>
      <c r="I484" s="78">
        <f t="shared" si="58"/>
        <v>0</v>
      </c>
      <c r="J484" s="78">
        <f t="shared" si="59"/>
        <v>0</v>
      </c>
      <c r="K484" s="78">
        <f t="shared" si="60"/>
        <v>0</v>
      </c>
      <c r="L484" s="78">
        <f t="shared" si="61"/>
        <v>0</v>
      </c>
      <c r="M484" s="78">
        <f t="shared" si="62"/>
        <v>0</v>
      </c>
      <c r="N484" s="78">
        <f t="shared" si="63"/>
        <v>0</v>
      </c>
      <c r="O484" s="79">
        <f t="shared" si="64"/>
        <v>0</v>
      </c>
    </row>
    <row r="485" spans="2:15" s="61" customFormat="1" ht="19" customHeight="1" x14ac:dyDescent="0.2">
      <c r="B485" s="24"/>
      <c r="C485" s="24"/>
      <c r="D485" s="36"/>
      <c r="E485" s="24"/>
      <c r="F485" s="77" t="str">
        <f t="shared" si="57"/>
        <v/>
      </c>
      <c r="G485" s="24"/>
      <c r="I485" s="78">
        <f t="shared" si="58"/>
        <v>0</v>
      </c>
      <c r="J485" s="78">
        <f t="shared" si="59"/>
        <v>0</v>
      </c>
      <c r="K485" s="78">
        <f t="shared" si="60"/>
        <v>0</v>
      </c>
      <c r="L485" s="78">
        <f t="shared" si="61"/>
        <v>0</v>
      </c>
      <c r="M485" s="78">
        <f t="shared" si="62"/>
        <v>0</v>
      </c>
      <c r="N485" s="78">
        <f t="shared" si="63"/>
        <v>0</v>
      </c>
      <c r="O485" s="79">
        <f t="shared" si="64"/>
        <v>0</v>
      </c>
    </row>
    <row r="486" spans="2:15" s="61" customFormat="1" ht="19" customHeight="1" x14ac:dyDescent="0.2">
      <c r="B486" s="24"/>
      <c r="C486" s="24"/>
      <c r="D486" s="36"/>
      <c r="E486" s="24"/>
      <c r="F486" s="77" t="str">
        <f t="shared" si="57"/>
        <v/>
      </c>
      <c r="G486" s="24"/>
      <c r="I486" s="78">
        <f t="shared" si="58"/>
        <v>0</v>
      </c>
      <c r="J486" s="78">
        <f t="shared" si="59"/>
        <v>0</v>
      </c>
      <c r="K486" s="78">
        <f t="shared" si="60"/>
        <v>0</v>
      </c>
      <c r="L486" s="78">
        <f t="shared" si="61"/>
        <v>0</v>
      </c>
      <c r="M486" s="78">
        <f t="shared" si="62"/>
        <v>0</v>
      </c>
      <c r="N486" s="78">
        <f t="shared" si="63"/>
        <v>0</v>
      </c>
      <c r="O486" s="79">
        <f t="shared" si="64"/>
        <v>0</v>
      </c>
    </row>
    <row r="487" spans="2:15" s="61" customFormat="1" ht="19" customHeight="1" x14ac:dyDescent="0.2">
      <c r="B487" s="24"/>
      <c r="C487" s="24"/>
      <c r="D487" s="36"/>
      <c r="E487" s="24"/>
      <c r="F487" s="77" t="str">
        <f t="shared" si="57"/>
        <v/>
      </c>
      <c r="G487" s="24"/>
      <c r="I487" s="78">
        <f t="shared" si="58"/>
        <v>0</v>
      </c>
      <c r="J487" s="78">
        <f t="shared" si="59"/>
        <v>0</v>
      </c>
      <c r="K487" s="78">
        <f t="shared" si="60"/>
        <v>0</v>
      </c>
      <c r="L487" s="78">
        <f t="shared" si="61"/>
        <v>0</v>
      </c>
      <c r="M487" s="78">
        <f t="shared" si="62"/>
        <v>0</v>
      </c>
      <c r="N487" s="78">
        <f t="shared" si="63"/>
        <v>0</v>
      </c>
      <c r="O487" s="79">
        <f t="shared" si="64"/>
        <v>0</v>
      </c>
    </row>
    <row r="488" spans="2:15" s="61" customFormat="1" ht="19" customHeight="1" x14ac:dyDescent="0.2">
      <c r="B488" s="24"/>
      <c r="C488" s="24"/>
      <c r="D488" s="36"/>
      <c r="E488" s="24"/>
      <c r="F488" s="77" t="str">
        <f t="shared" si="57"/>
        <v/>
      </c>
      <c r="G488" s="24"/>
      <c r="I488" s="78">
        <f t="shared" si="58"/>
        <v>0</v>
      </c>
      <c r="J488" s="78">
        <f t="shared" si="59"/>
        <v>0</v>
      </c>
      <c r="K488" s="78">
        <f t="shared" si="60"/>
        <v>0</v>
      </c>
      <c r="L488" s="78">
        <f t="shared" si="61"/>
        <v>0</v>
      </c>
      <c r="M488" s="78">
        <f t="shared" si="62"/>
        <v>0</v>
      </c>
      <c r="N488" s="78">
        <f t="shared" si="63"/>
        <v>0</v>
      </c>
      <c r="O488" s="79">
        <f t="shared" si="64"/>
        <v>0</v>
      </c>
    </row>
    <row r="489" spans="2:15" s="61" customFormat="1" ht="19" customHeight="1" x14ac:dyDescent="0.2">
      <c r="B489" s="24"/>
      <c r="C489" s="24"/>
      <c r="D489" s="36"/>
      <c r="E489" s="24"/>
      <c r="F489" s="77" t="str">
        <f t="shared" si="57"/>
        <v/>
      </c>
      <c r="G489" s="24"/>
      <c r="I489" s="78">
        <f t="shared" si="58"/>
        <v>0</v>
      </c>
      <c r="J489" s="78">
        <f t="shared" si="59"/>
        <v>0</v>
      </c>
      <c r="K489" s="78">
        <f t="shared" si="60"/>
        <v>0</v>
      </c>
      <c r="L489" s="78">
        <f t="shared" si="61"/>
        <v>0</v>
      </c>
      <c r="M489" s="78">
        <f t="shared" si="62"/>
        <v>0</v>
      </c>
      <c r="N489" s="78">
        <f t="shared" si="63"/>
        <v>0</v>
      </c>
      <c r="O489" s="79">
        <f t="shared" si="64"/>
        <v>0</v>
      </c>
    </row>
    <row r="490" spans="2:15" s="61" customFormat="1" ht="19" customHeight="1" x14ac:dyDescent="0.2">
      <c r="B490" s="24"/>
      <c r="C490" s="24"/>
      <c r="D490" s="36"/>
      <c r="E490" s="24"/>
      <c r="F490" s="77" t="str">
        <f t="shared" si="57"/>
        <v/>
      </c>
      <c r="G490" s="24"/>
      <c r="I490" s="78">
        <f t="shared" si="58"/>
        <v>0</v>
      </c>
      <c r="J490" s="78">
        <f t="shared" si="59"/>
        <v>0</v>
      </c>
      <c r="K490" s="78">
        <f t="shared" si="60"/>
        <v>0</v>
      </c>
      <c r="L490" s="78">
        <f t="shared" si="61"/>
        <v>0</v>
      </c>
      <c r="M490" s="78">
        <f t="shared" si="62"/>
        <v>0</v>
      </c>
      <c r="N490" s="78">
        <f t="shared" si="63"/>
        <v>0</v>
      </c>
      <c r="O490" s="79">
        <f t="shared" si="64"/>
        <v>0</v>
      </c>
    </row>
    <row r="491" spans="2:15" s="61" customFormat="1" ht="19" customHeight="1" x14ac:dyDescent="0.2">
      <c r="B491" s="24"/>
      <c r="C491" s="24"/>
      <c r="D491" s="36"/>
      <c r="E491" s="24"/>
      <c r="F491" s="77" t="str">
        <f t="shared" si="57"/>
        <v/>
      </c>
      <c r="G491" s="24"/>
      <c r="I491" s="78">
        <f t="shared" si="58"/>
        <v>0</v>
      </c>
      <c r="J491" s="78">
        <f t="shared" si="59"/>
        <v>0</v>
      </c>
      <c r="K491" s="78">
        <f t="shared" si="60"/>
        <v>0</v>
      </c>
      <c r="L491" s="78">
        <f t="shared" si="61"/>
        <v>0</v>
      </c>
      <c r="M491" s="78">
        <f t="shared" si="62"/>
        <v>0</v>
      </c>
      <c r="N491" s="78">
        <f t="shared" si="63"/>
        <v>0</v>
      </c>
      <c r="O491" s="79">
        <f t="shared" si="64"/>
        <v>0</v>
      </c>
    </row>
    <row r="492" spans="2:15" s="61" customFormat="1" ht="19" customHeight="1" x14ac:dyDescent="0.2">
      <c r="B492" s="24"/>
      <c r="C492" s="24"/>
      <c r="D492" s="36"/>
      <c r="E492" s="24"/>
      <c r="F492" s="77" t="str">
        <f t="shared" si="57"/>
        <v/>
      </c>
      <c r="G492" s="24"/>
      <c r="I492" s="78">
        <f t="shared" si="58"/>
        <v>0</v>
      </c>
      <c r="J492" s="78">
        <f t="shared" si="59"/>
        <v>0</v>
      </c>
      <c r="K492" s="78">
        <f t="shared" si="60"/>
        <v>0</v>
      </c>
      <c r="L492" s="78">
        <f t="shared" si="61"/>
        <v>0</v>
      </c>
      <c r="M492" s="78">
        <f t="shared" si="62"/>
        <v>0</v>
      </c>
      <c r="N492" s="78">
        <f t="shared" si="63"/>
        <v>0</v>
      </c>
      <c r="O492" s="79">
        <f t="shared" si="64"/>
        <v>0</v>
      </c>
    </row>
    <row r="493" spans="2:15" s="61" customFormat="1" ht="19" customHeight="1" x14ac:dyDescent="0.2">
      <c r="B493" s="24"/>
      <c r="C493" s="24"/>
      <c r="D493" s="36"/>
      <c r="E493" s="24"/>
      <c r="F493" s="77" t="str">
        <f t="shared" si="57"/>
        <v/>
      </c>
      <c r="G493" s="24"/>
      <c r="I493" s="78">
        <f t="shared" si="58"/>
        <v>0</v>
      </c>
      <c r="J493" s="78">
        <f t="shared" si="59"/>
        <v>0</v>
      </c>
      <c r="K493" s="78">
        <f t="shared" si="60"/>
        <v>0</v>
      </c>
      <c r="L493" s="78">
        <f t="shared" si="61"/>
        <v>0</v>
      </c>
      <c r="M493" s="78">
        <f t="shared" si="62"/>
        <v>0</v>
      </c>
      <c r="N493" s="78">
        <f t="shared" si="63"/>
        <v>0</v>
      </c>
      <c r="O493" s="79">
        <f t="shared" si="64"/>
        <v>0</v>
      </c>
    </row>
    <row r="494" spans="2:15" s="61" customFormat="1" ht="19" customHeight="1" x14ac:dyDescent="0.2">
      <c r="B494" s="24"/>
      <c r="C494" s="24"/>
      <c r="D494" s="36"/>
      <c r="E494" s="24"/>
      <c r="F494" s="77" t="str">
        <f t="shared" si="57"/>
        <v/>
      </c>
      <c r="G494" s="24"/>
      <c r="I494" s="78">
        <f t="shared" si="58"/>
        <v>0</v>
      </c>
      <c r="J494" s="78">
        <f t="shared" si="59"/>
        <v>0</v>
      </c>
      <c r="K494" s="78">
        <f t="shared" si="60"/>
        <v>0</v>
      </c>
      <c r="L494" s="78">
        <f t="shared" si="61"/>
        <v>0</v>
      </c>
      <c r="M494" s="78">
        <f t="shared" si="62"/>
        <v>0</v>
      </c>
      <c r="N494" s="78">
        <f t="shared" si="63"/>
        <v>0</v>
      </c>
      <c r="O494" s="79">
        <f t="shared" si="64"/>
        <v>0</v>
      </c>
    </row>
    <row r="495" spans="2:15" s="61" customFormat="1" ht="19" customHeight="1" x14ac:dyDescent="0.2">
      <c r="B495" s="24"/>
      <c r="C495" s="24"/>
      <c r="D495" s="36"/>
      <c r="E495" s="24"/>
      <c r="F495" s="77" t="str">
        <f t="shared" si="57"/>
        <v/>
      </c>
      <c r="G495" s="24"/>
      <c r="I495" s="78">
        <f t="shared" si="58"/>
        <v>0</v>
      </c>
      <c r="J495" s="78">
        <f t="shared" si="59"/>
        <v>0</v>
      </c>
      <c r="K495" s="78">
        <f t="shared" si="60"/>
        <v>0</v>
      </c>
      <c r="L495" s="78">
        <f t="shared" si="61"/>
        <v>0</v>
      </c>
      <c r="M495" s="78">
        <f t="shared" si="62"/>
        <v>0</v>
      </c>
      <c r="N495" s="78">
        <f t="shared" si="63"/>
        <v>0</v>
      </c>
      <c r="O495" s="79">
        <f t="shared" si="64"/>
        <v>0</v>
      </c>
    </row>
    <row r="496" spans="2:15" s="61" customFormat="1" ht="19" customHeight="1" x14ac:dyDescent="0.2">
      <c r="B496" s="24"/>
      <c r="C496" s="24"/>
      <c r="D496" s="36"/>
      <c r="E496" s="24"/>
      <c r="F496" s="77" t="str">
        <f t="shared" si="57"/>
        <v/>
      </c>
      <c r="G496" s="24"/>
      <c r="I496" s="78">
        <f t="shared" si="58"/>
        <v>0</v>
      </c>
      <c r="J496" s="78">
        <f t="shared" si="59"/>
        <v>0</v>
      </c>
      <c r="K496" s="78">
        <f t="shared" si="60"/>
        <v>0</v>
      </c>
      <c r="L496" s="78">
        <f t="shared" si="61"/>
        <v>0</v>
      </c>
      <c r="M496" s="78">
        <f t="shared" si="62"/>
        <v>0</v>
      </c>
      <c r="N496" s="78">
        <f t="shared" si="63"/>
        <v>0</v>
      </c>
      <c r="O496" s="79">
        <f t="shared" si="64"/>
        <v>0</v>
      </c>
    </row>
    <row r="497" spans="2:15" s="61" customFormat="1" ht="19" customHeight="1" x14ac:dyDescent="0.2">
      <c r="B497" s="24"/>
      <c r="C497" s="24"/>
      <c r="D497" s="36"/>
      <c r="E497" s="24"/>
      <c r="F497" s="77" t="str">
        <f t="shared" si="57"/>
        <v/>
      </c>
      <c r="G497" s="24"/>
      <c r="I497" s="78">
        <f t="shared" si="58"/>
        <v>0</v>
      </c>
      <c r="J497" s="78">
        <f t="shared" si="59"/>
        <v>0</v>
      </c>
      <c r="K497" s="78">
        <f t="shared" si="60"/>
        <v>0</v>
      </c>
      <c r="L497" s="78">
        <f t="shared" si="61"/>
        <v>0</v>
      </c>
      <c r="M497" s="78">
        <f t="shared" si="62"/>
        <v>0</v>
      </c>
      <c r="N497" s="78">
        <f t="shared" si="63"/>
        <v>0</v>
      </c>
      <c r="O497" s="79">
        <f t="shared" si="64"/>
        <v>0</v>
      </c>
    </row>
    <row r="498" spans="2:15" s="61" customFormat="1" ht="19" customHeight="1" x14ac:dyDescent="0.2">
      <c r="B498" s="24"/>
      <c r="C498" s="24"/>
      <c r="D498" s="36"/>
      <c r="E498" s="24"/>
      <c r="F498" s="77" t="str">
        <f t="shared" si="57"/>
        <v/>
      </c>
      <c r="G498" s="24"/>
      <c r="I498" s="78">
        <f t="shared" si="58"/>
        <v>0</v>
      </c>
      <c r="J498" s="78">
        <f t="shared" si="59"/>
        <v>0</v>
      </c>
      <c r="K498" s="78">
        <f t="shared" si="60"/>
        <v>0</v>
      </c>
      <c r="L498" s="78">
        <f t="shared" si="61"/>
        <v>0</v>
      </c>
      <c r="M498" s="78">
        <f t="shared" si="62"/>
        <v>0</v>
      </c>
      <c r="N498" s="78">
        <f t="shared" si="63"/>
        <v>0</v>
      </c>
      <c r="O498" s="79">
        <f t="shared" si="64"/>
        <v>0</v>
      </c>
    </row>
    <row r="499" spans="2:15" s="61" customFormat="1" ht="19" customHeight="1" x14ac:dyDescent="0.2">
      <c r="B499" s="24"/>
      <c r="C499" s="24"/>
      <c r="D499" s="36"/>
      <c r="E499" s="24"/>
      <c r="F499" s="77" t="str">
        <f t="shared" si="57"/>
        <v/>
      </c>
      <c r="G499" s="24"/>
      <c r="I499" s="78">
        <f t="shared" si="58"/>
        <v>0</v>
      </c>
      <c r="J499" s="78">
        <f t="shared" si="59"/>
        <v>0</v>
      </c>
      <c r="K499" s="78">
        <f t="shared" si="60"/>
        <v>0</v>
      </c>
      <c r="L499" s="78">
        <f t="shared" si="61"/>
        <v>0</v>
      </c>
      <c r="M499" s="78">
        <f t="shared" si="62"/>
        <v>0</v>
      </c>
      <c r="N499" s="78">
        <f t="shared" si="63"/>
        <v>0</v>
      </c>
      <c r="O499" s="79">
        <f t="shared" si="64"/>
        <v>0</v>
      </c>
    </row>
    <row r="500" spans="2:15" s="61" customFormat="1" ht="19" customHeight="1" x14ac:dyDescent="0.2">
      <c r="B500" s="80"/>
      <c r="C500" s="24"/>
      <c r="D500" s="81"/>
      <c r="E500" s="80"/>
      <c r="F500" s="77" t="str">
        <f t="shared" si="57"/>
        <v/>
      </c>
      <c r="G500" s="24"/>
      <c r="I500" s="78">
        <f t="shared" si="58"/>
        <v>0</v>
      </c>
      <c r="J500" s="78">
        <f t="shared" si="59"/>
        <v>0</v>
      </c>
      <c r="K500" s="78">
        <f t="shared" si="60"/>
        <v>0</v>
      </c>
      <c r="L500" s="78">
        <f t="shared" si="61"/>
        <v>0</v>
      </c>
      <c r="M500" s="78">
        <f t="shared" si="62"/>
        <v>0</v>
      </c>
      <c r="N500" s="78">
        <f t="shared" si="63"/>
        <v>0</v>
      </c>
      <c r="O500" s="79">
        <f t="shared" si="64"/>
        <v>0</v>
      </c>
    </row>
  </sheetData>
  <sheetProtection algorithmName="SHA-512" hashValue="PnIUWeci30NlzOffKYPRyN2bZ3VXC0bsLtjdujeIuJTGhQIBBJ2K0cy1G0KoNYX8M4b8p46waTXPCICq7w58jg==" saltValue="Mkn04wVn3lNC1jncmsHM1A==" spinCount="100000" sheet="1" objects="1" scenarios="1" selectLockedCells="1"/>
  <mergeCells count="4">
    <mergeCell ref="B2:G2"/>
    <mergeCell ref="B4:G4"/>
    <mergeCell ref="B6:G7"/>
    <mergeCell ref="B8:G8"/>
  </mergeCells>
  <conditionalFormatting sqref="G11:G500">
    <cfRule type="expression" dxfId="4" priority="1">
      <formula>F11="Genius"</formula>
    </cfRule>
  </conditionalFormatting>
  <dataValidations count="3">
    <dataValidation type="list" allowBlank="1" showInputMessage="1" showErrorMessage="1" sqref="C11:C500" xr:uid="{00000000-0002-0000-0300-000000000000}">
      <formula1>$AD$2:$AD$6</formula1>
    </dataValidation>
    <dataValidation type="list" allowBlank="1" showInputMessage="1" showErrorMessage="1" sqref="E11:E500" xr:uid="{00000000-0002-0000-0300-000001000000}">
      <formula1>$AG$2:$AG$6</formula1>
    </dataValidation>
    <dataValidation type="list" allowBlank="1" showInputMessage="1" showErrorMessage="1" sqref="G11:G500" xr:uid="{00000000-0002-0000-0300-000002000000}">
      <formula1>$AH$2:$AH$4</formula1>
    </dataValidation>
  </dataValidations>
  <pageMargins left="0.7" right="0.7" top="0.75" bottom="0.75" header="0.3" footer="0.3"/>
  <pageSetup orientation="portrait" horizontalDpi="4294967293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tabColor rgb="FFFF7575"/>
    <pageSetUpPr fitToPage="1"/>
  </sheetPr>
  <dimension ref="B1:BF500"/>
  <sheetViews>
    <sheetView showGridLines="0" zoomScaleNormal="100" zoomScalePageLayoutView="200" workbookViewId="0">
      <pane xSplit="1" topLeftCell="B1" activePane="topRight" state="frozen"/>
      <selection activeCell="A5" sqref="A5"/>
      <selection pane="topRight" activeCell="J13" sqref="J13"/>
    </sheetView>
  </sheetViews>
  <sheetFormatPr baseColWidth="10" defaultColWidth="8.83203125" defaultRowHeight="15" x14ac:dyDescent="0.2"/>
  <cols>
    <col min="1" max="1" width="0.83203125" customWidth="1"/>
    <col min="2" max="2" width="27.1640625" customWidth="1"/>
    <col min="3" max="3" width="14.5" customWidth="1"/>
    <col min="4" max="4" width="50.5" style="71" customWidth="1"/>
    <col min="5" max="5" width="15.1640625" customWidth="1"/>
    <col min="6" max="6" width="14.6640625" customWidth="1"/>
    <col min="7" max="7" width="17" style="59" customWidth="1"/>
    <col min="8" max="8" width="13.83203125" style="71" customWidth="1"/>
    <col min="9" max="9" width="17.33203125" customWidth="1"/>
    <col min="10" max="10" width="14.6640625" customWidth="1"/>
    <col min="11" max="11" width="21.5" style="82" customWidth="1"/>
    <col min="12" max="12" width="13.5" style="83" customWidth="1"/>
    <col min="13" max="13" width="14.33203125" style="83" customWidth="1"/>
    <col min="14" max="14" width="26.6640625" style="83" customWidth="1"/>
    <col min="15" max="15" width="15.33203125" customWidth="1"/>
    <col min="16" max="16" width="25.5" customWidth="1"/>
    <col min="17" max="17" width="8.83203125" customWidth="1"/>
    <col min="18" max="18" width="67.1640625" customWidth="1"/>
    <col min="19" max="19" width="9" customWidth="1"/>
    <col min="20" max="21" width="8.83203125" customWidth="1"/>
  </cols>
  <sheetData>
    <row r="1" spans="2:58" ht="5.25" customHeight="1" x14ac:dyDescent="0.2"/>
    <row r="2" spans="2:58" s="7" customFormat="1" ht="30.75" customHeight="1" x14ac:dyDescent="0.2">
      <c r="B2" s="108" t="s">
        <v>44</v>
      </c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AK2" s="61"/>
      <c r="AL2" s="61"/>
      <c r="AM2" s="61"/>
      <c r="AN2" s="62"/>
      <c r="AO2" s="61"/>
      <c r="AY2" s="84"/>
      <c r="AZ2" s="84"/>
      <c r="BE2" s="7" t="s">
        <v>2</v>
      </c>
      <c r="BF2" s="7" t="s">
        <v>5</v>
      </c>
    </row>
    <row r="3" spans="2:58" s="6" customFormat="1" ht="5.25" customHeight="1" x14ac:dyDescent="0.25">
      <c r="D3" s="65"/>
      <c r="G3" s="65"/>
      <c r="K3" s="85"/>
      <c r="L3" s="85"/>
      <c r="M3" s="85"/>
      <c r="N3" s="85"/>
      <c r="AK3" s="61"/>
      <c r="AL3" s="61"/>
      <c r="AM3" s="61"/>
      <c r="AN3" s="62"/>
      <c r="AO3" s="61"/>
      <c r="AP3" s="7"/>
      <c r="AQ3" s="7"/>
      <c r="AR3" s="7"/>
      <c r="AS3" s="7"/>
      <c r="AT3" s="7"/>
      <c r="AU3" s="7"/>
      <c r="AV3" s="7"/>
      <c r="AW3" s="7"/>
      <c r="AY3" s="84"/>
      <c r="AZ3" s="84"/>
      <c r="BE3" s="6" t="s">
        <v>4</v>
      </c>
      <c r="BF3" s="6" t="s">
        <v>8</v>
      </c>
    </row>
    <row r="4" spans="2:58" s="7" customFormat="1" ht="27" customHeight="1" x14ac:dyDescent="0.2">
      <c r="B4" s="109" t="s">
        <v>45</v>
      </c>
      <c r="C4" s="109"/>
      <c r="D4" s="109"/>
      <c r="E4" s="109"/>
      <c r="F4" s="109"/>
      <c r="G4" s="109"/>
      <c r="H4" s="109"/>
      <c r="I4" s="109"/>
      <c r="J4" s="109"/>
      <c r="K4" s="109"/>
      <c r="L4" s="109"/>
      <c r="M4" s="109"/>
      <c r="N4" s="109"/>
      <c r="O4" s="109"/>
      <c r="P4" s="109"/>
      <c r="AK4" s="61"/>
      <c r="AL4" s="61"/>
      <c r="AM4" s="61"/>
      <c r="AN4" s="62"/>
      <c r="AO4" s="61"/>
      <c r="AY4" s="84"/>
      <c r="AZ4" s="84"/>
      <c r="BE4" s="7" t="s">
        <v>1</v>
      </c>
    </row>
    <row r="5" spans="2:58" ht="9" customHeight="1" x14ac:dyDescent="0.2">
      <c r="K5" s="83"/>
    </row>
    <row r="6" spans="2:58" s="61" customFormat="1" ht="84.75" customHeight="1" x14ac:dyDescent="0.2">
      <c r="B6" s="100" t="s">
        <v>16</v>
      </c>
      <c r="C6" s="100" t="s">
        <v>17</v>
      </c>
      <c r="D6" s="102" t="s">
        <v>20</v>
      </c>
      <c r="E6" s="100" t="s">
        <v>10</v>
      </c>
      <c r="F6" s="102" t="s">
        <v>26</v>
      </c>
      <c r="G6" s="101" t="s">
        <v>30</v>
      </c>
      <c r="H6" s="102" t="s">
        <v>21</v>
      </c>
      <c r="I6" s="102" t="s">
        <v>189</v>
      </c>
      <c r="J6" s="101" t="s">
        <v>31</v>
      </c>
      <c r="K6" s="103" t="s">
        <v>23</v>
      </c>
      <c r="L6" s="103" t="s">
        <v>22</v>
      </c>
      <c r="M6" s="103" t="s">
        <v>46</v>
      </c>
      <c r="N6" s="103" t="s">
        <v>190</v>
      </c>
      <c r="O6" s="101" t="s">
        <v>24</v>
      </c>
      <c r="P6" s="101" t="s">
        <v>25</v>
      </c>
    </row>
    <row r="7" spans="2:58" s="61" customFormat="1" ht="5.25" customHeight="1" x14ac:dyDescent="0.2">
      <c r="B7" s="7"/>
      <c r="C7" s="7"/>
      <c r="D7" s="51"/>
      <c r="E7" s="7"/>
      <c r="F7" s="51"/>
      <c r="G7" s="86"/>
      <c r="H7" s="51"/>
      <c r="I7" s="51"/>
      <c r="J7" s="86"/>
      <c r="K7" s="87"/>
      <c r="L7" s="87"/>
      <c r="M7" s="87"/>
      <c r="N7" s="87"/>
      <c r="O7" s="86"/>
      <c r="P7" s="86"/>
    </row>
    <row r="8" spans="2:58" s="61" customFormat="1" ht="34" customHeight="1" x14ac:dyDescent="0.2">
      <c r="B8" s="77" t="str">
        <f>IF('Step 2- Activity Inventory'!B11="","",'Step 2- Activity Inventory'!B11)</f>
        <v/>
      </c>
      <c r="C8" s="77" t="str">
        <f>IF('Step 2- Activity Inventory'!C11="","",'Step 2- Activity Inventory'!C11)</f>
        <v/>
      </c>
      <c r="D8" s="88" t="str">
        <f>IF('Step 2- Activity Inventory'!E11="","",'Step 2- Activity Inventory'!E11)</f>
        <v/>
      </c>
      <c r="E8" s="88" t="str">
        <f>IF('Step 2- Activity Inventory'!F11="","",'Step 2- Activity Inventory'!F11)</f>
        <v/>
      </c>
      <c r="F8" s="88" t="str">
        <f>IF(E8="Genius","N/A",IF('Step 2- Activity Inventory'!G11="","",'Step 2- Activity Inventory'!G11))</f>
        <v/>
      </c>
      <c r="G8" s="89" t="str">
        <f>IF('Step 2- Activity Inventory'!D11="","",'Step 2- Activity Inventory'!D11)</f>
        <v/>
      </c>
      <c r="H8" s="90"/>
      <c r="I8" s="24"/>
      <c r="J8" s="90"/>
      <c r="K8" s="91"/>
      <c r="L8" s="92" t="str">
        <f>IF(OR('Step 2- Activity Inventory'!O11=6,AND('Step 2- Activity Inventory'!O11=5,E8="Genius")),'Step 1- Hrly Rate Calc'!$D$18,"")</f>
        <v/>
      </c>
      <c r="M8" s="93" t="str">
        <f>IF(B8="","",IFERROR(K8-L8,""))</f>
        <v/>
      </c>
      <c r="N8" s="93" t="str">
        <f>IF(L8="","",IF(IFERROR((G8/60)*M8*2*'Step 1- Hrly Rate Calc'!$D$14,"")&lt;0,"N/A",IFERROR((G8/60)*M8*2*'Step 1- Hrly Rate Calc'!$D$14,"")))</f>
        <v/>
      </c>
      <c r="O8" s="77" t="str">
        <f>IF(E8="Genius","KEEP DOING",IF(L8="","",IF(K8&gt;(L8*0.75),"KEEP DOING","STOP DOING")))</f>
        <v/>
      </c>
      <c r="P8" s="77" t="str">
        <f>IF(L8="","",IF(O8="STOP DOING",IF(J8="Yes","Ready to Stop Doing","Not Ready"),"N/A"))</f>
        <v/>
      </c>
    </row>
    <row r="9" spans="2:58" s="61" customFormat="1" ht="34" customHeight="1" x14ac:dyDescent="0.2">
      <c r="B9" s="77" t="str">
        <f>IF('Step 2- Activity Inventory'!B12="","",'Step 2- Activity Inventory'!B12)</f>
        <v/>
      </c>
      <c r="C9" s="77" t="str">
        <f>IF('Step 2- Activity Inventory'!C12="","",'Step 2- Activity Inventory'!C12)</f>
        <v/>
      </c>
      <c r="D9" s="88" t="str">
        <f>IF('Step 2- Activity Inventory'!E12="","",'Step 2- Activity Inventory'!E12)</f>
        <v/>
      </c>
      <c r="E9" s="88" t="str">
        <f>IF('Step 2- Activity Inventory'!F12="","",'Step 2- Activity Inventory'!F12)</f>
        <v/>
      </c>
      <c r="F9" s="88" t="str">
        <f>IF(E9="Genius","N/A",IF('Step 2- Activity Inventory'!G12="","",'Step 2- Activity Inventory'!G12))</f>
        <v/>
      </c>
      <c r="G9" s="89" t="str">
        <f>IF('Step 2- Activity Inventory'!D12="","",'Step 2- Activity Inventory'!D12)</f>
        <v/>
      </c>
      <c r="H9" s="90"/>
      <c r="I9" s="24"/>
      <c r="J9" s="24"/>
      <c r="K9" s="91"/>
      <c r="L9" s="92" t="str">
        <f>IF(OR('Step 2- Activity Inventory'!O12=6,AND('Step 2- Activity Inventory'!O12=5,E9="Genius")),'Step 1- Hrly Rate Calc'!$D$18,"")</f>
        <v/>
      </c>
      <c r="M9" s="93" t="str">
        <f t="shared" ref="M9:M72" si="0">IF(B9="","",IFERROR(K9-L9,""))</f>
        <v/>
      </c>
      <c r="N9" s="93" t="str">
        <f>IF(L9="","",IF(IFERROR((G9/60)*M9*2*'Step 1- Hrly Rate Calc'!$D$14,"")&lt;0,"N/A",IFERROR((G9/60)*M9*2*'Step 1- Hrly Rate Calc'!$D$14,"")))</f>
        <v/>
      </c>
      <c r="O9" s="77" t="str">
        <f t="shared" ref="O9:O72" si="1">IF(E9="Genius","KEEP DOING",IF(L9="","",IF(K9&gt;(L9*0.75),"KEEP DOING","STOP DOING")))</f>
        <v/>
      </c>
      <c r="P9" s="77" t="str">
        <f t="shared" ref="P9:P72" si="2">IF(L9="","",IF(O9="STOP DOING",IF(J9="Yes","Ready to Stop Doing","Not Ready"),"N/A"))</f>
        <v/>
      </c>
    </row>
    <row r="10" spans="2:58" s="61" customFormat="1" ht="34" customHeight="1" x14ac:dyDescent="0.2">
      <c r="B10" s="77" t="str">
        <f>IF('Step 2- Activity Inventory'!B13="","",'Step 2- Activity Inventory'!B13)</f>
        <v/>
      </c>
      <c r="C10" s="77" t="str">
        <f>IF('Step 2- Activity Inventory'!C13="","",'Step 2- Activity Inventory'!C13)</f>
        <v/>
      </c>
      <c r="D10" s="88" t="str">
        <f>IF('Step 2- Activity Inventory'!E13="","",'Step 2- Activity Inventory'!E13)</f>
        <v/>
      </c>
      <c r="E10" s="88" t="str">
        <f>IF('Step 2- Activity Inventory'!F13="","",'Step 2- Activity Inventory'!F13)</f>
        <v/>
      </c>
      <c r="F10" s="88" t="str">
        <f>IF(E10="Genius","N/A",IF('Step 2- Activity Inventory'!G13="","",'Step 2- Activity Inventory'!G13))</f>
        <v/>
      </c>
      <c r="G10" s="89" t="str">
        <f>IF('Step 2- Activity Inventory'!D13="","",'Step 2- Activity Inventory'!D13)</f>
        <v/>
      </c>
      <c r="H10" s="90"/>
      <c r="I10" s="24"/>
      <c r="J10" s="24"/>
      <c r="K10" s="91"/>
      <c r="L10" s="92" t="str">
        <f>IF(OR('Step 2- Activity Inventory'!O13=6,AND('Step 2- Activity Inventory'!O13=5,E10="Genius")),'Step 1- Hrly Rate Calc'!$D$18,"")</f>
        <v/>
      </c>
      <c r="M10" s="93" t="str">
        <f t="shared" si="0"/>
        <v/>
      </c>
      <c r="N10" s="93" t="str">
        <f>IF(L10="","",IF(IFERROR((G10/60)*M10*2*'Step 1- Hrly Rate Calc'!$D$14,"")&lt;0,"N/A",IFERROR((G10/60)*M10*2*'Step 1- Hrly Rate Calc'!$D$14,"")))</f>
        <v/>
      </c>
      <c r="O10" s="77" t="str">
        <f t="shared" si="1"/>
        <v/>
      </c>
      <c r="P10" s="77" t="str">
        <f t="shared" si="2"/>
        <v/>
      </c>
    </row>
    <row r="11" spans="2:58" s="61" customFormat="1" ht="34" customHeight="1" x14ac:dyDescent="0.2">
      <c r="B11" s="77" t="str">
        <f>IF('Step 2- Activity Inventory'!B14="","",'Step 2- Activity Inventory'!B14)</f>
        <v/>
      </c>
      <c r="C11" s="77" t="str">
        <f>IF('Step 2- Activity Inventory'!C14="","",'Step 2- Activity Inventory'!C14)</f>
        <v/>
      </c>
      <c r="D11" s="88" t="str">
        <f>IF('Step 2- Activity Inventory'!E14="","",'Step 2- Activity Inventory'!E14)</f>
        <v/>
      </c>
      <c r="E11" s="88" t="str">
        <f>IF('Step 2- Activity Inventory'!F14="","",'Step 2- Activity Inventory'!F14)</f>
        <v/>
      </c>
      <c r="F11" s="88" t="str">
        <f>IF(E11="Genius","N/A",IF('Step 2- Activity Inventory'!G14="","",'Step 2- Activity Inventory'!G14))</f>
        <v/>
      </c>
      <c r="G11" s="89" t="str">
        <f>IF('Step 2- Activity Inventory'!D14="","",'Step 2- Activity Inventory'!D14)</f>
        <v/>
      </c>
      <c r="H11" s="90"/>
      <c r="I11" s="24"/>
      <c r="J11" s="24"/>
      <c r="K11" s="91"/>
      <c r="L11" s="92" t="str">
        <f>IF(OR('Step 2- Activity Inventory'!O14=6,AND('Step 2- Activity Inventory'!O14=5,E11="Genius")),'Step 1- Hrly Rate Calc'!$D$18,"")</f>
        <v/>
      </c>
      <c r="M11" s="93" t="str">
        <f t="shared" si="0"/>
        <v/>
      </c>
      <c r="N11" s="93" t="str">
        <f>IF(L11="","",IF(IFERROR((G11/60)*M11*2*'Step 1- Hrly Rate Calc'!$D$14,"")&lt;0,"N/A",IFERROR((G11/60)*M11*2*'Step 1- Hrly Rate Calc'!$D$14,"")))</f>
        <v/>
      </c>
      <c r="O11" s="77" t="str">
        <f t="shared" si="1"/>
        <v/>
      </c>
      <c r="P11" s="77" t="str">
        <f t="shared" si="2"/>
        <v/>
      </c>
    </row>
    <row r="12" spans="2:58" s="61" customFormat="1" ht="34" customHeight="1" x14ac:dyDescent="0.2">
      <c r="B12" s="77" t="str">
        <f>IF('Step 2- Activity Inventory'!B15="","",'Step 2- Activity Inventory'!B15)</f>
        <v/>
      </c>
      <c r="C12" s="77" t="str">
        <f>IF('Step 2- Activity Inventory'!C15="","",'Step 2- Activity Inventory'!C15)</f>
        <v/>
      </c>
      <c r="D12" s="88" t="str">
        <f>IF('Step 2- Activity Inventory'!E15="","",'Step 2- Activity Inventory'!E15)</f>
        <v/>
      </c>
      <c r="E12" s="88" t="str">
        <f>IF('Step 2- Activity Inventory'!F15="","",'Step 2- Activity Inventory'!F15)</f>
        <v/>
      </c>
      <c r="F12" s="88" t="str">
        <f>IF(E12="Genius","N/A",IF('Step 2- Activity Inventory'!G15="","",'Step 2- Activity Inventory'!G15))</f>
        <v/>
      </c>
      <c r="G12" s="89" t="str">
        <f>IF('Step 2- Activity Inventory'!D15="","",'Step 2- Activity Inventory'!D15)</f>
        <v/>
      </c>
      <c r="H12" s="90"/>
      <c r="I12" s="24"/>
      <c r="J12" s="24"/>
      <c r="K12" s="91"/>
      <c r="L12" s="92" t="str">
        <f>IF(OR('Step 2- Activity Inventory'!O15=6,AND('Step 2- Activity Inventory'!O15=5,E12="Genius")),'Step 1- Hrly Rate Calc'!$D$18,"")</f>
        <v/>
      </c>
      <c r="M12" s="93" t="str">
        <f t="shared" si="0"/>
        <v/>
      </c>
      <c r="N12" s="93" t="str">
        <f>IF(L12="","",IF(IFERROR((G12/60)*M12*2*'Step 1- Hrly Rate Calc'!$D$14,"")&lt;0,"N/A",IFERROR((G12/60)*M12*2*'Step 1- Hrly Rate Calc'!$D$14,"")))</f>
        <v/>
      </c>
      <c r="O12" s="77" t="str">
        <f t="shared" si="1"/>
        <v/>
      </c>
      <c r="P12" s="77" t="str">
        <f t="shared" si="2"/>
        <v/>
      </c>
    </row>
    <row r="13" spans="2:58" s="61" customFormat="1" ht="34" customHeight="1" x14ac:dyDescent="0.2">
      <c r="B13" s="77" t="str">
        <f>IF('Step 2- Activity Inventory'!B16="","",'Step 2- Activity Inventory'!B16)</f>
        <v/>
      </c>
      <c r="C13" s="77" t="str">
        <f>IF('Step 2- Activity Inventory'!C16="","",'Step 2- Activity Inventory'!C16)</f>
        <v/>
      </c>
      <c r="D13" s="88" t="str">
        <f>IF('Step 2- Activity Inventory'!E16="","",'Step 2- Activity Inventory'!E16)</f>
        <v/>
      </c>
      <c r="E13" s="88" t="str">
        <f>IF('Step 2- Activity Inventory'!F16="","",'Step 2- Activity Inventory'!F16)</f>
        <v/>
      </c>
      <c r="F13" s="88" t="str">
        <f>IF(E13="Genius","N/A",IF('Step 2- Activity Inventory'!G16="","",'Step 2- Activity Inventory'!G16))</f>
        <v/>
      </c>
      <c r="G13" s="89" t="str">
        <f>IF('Step 2- Activity Inventory'!D16="","",'Step 2- Activity Inventory'!D16)</f>
        <v/>
      </c>
      <c r="H13" s="90"/>
      <c r="I13" s="24"/>
      <c r="J13" s="24"/>
      <c r="K13" s="91"/>
      <c r="L13" s="92" t="str">
        <f>IF(OR('Step 2- Activity Inventory'!O16=6,AND('Step 2- Activity Inventory'!O16=5,E13="Genius")),'Step 1- Hrly Rate Calc'!$D$18,"")</f>
        <v/>
      </c>
      <c r="M13" s="93" t="str">
        <f t="shared" si="0"/>
        <v/>
      </c>
      <c r="N13" s="93" t="str">
        <f>IF(L13="","",IF(IFERROR((G13/60)*M13*2*'Step 1- Hrly Rate Calc'!$D$14,"")&lt;0,"N/A",IFERROR((G13/60)*M13*2*'Step 1- Hrly Rate Calc'!$D$14,"")))</f>
        <v/>
      </c>
      <c r="O13" s="77" t="str">
        <f t="shared" si="1"/>
        <v/>
      </c>
      <c r="P13" s="77" t="str">
        <f t="shared" si="2"/>
        <v/>
      </c>
    </row>
    <row r="14" spans="2:58" s="61" customFormat="1" ht="34" customHeight="1" x14ac:dyDescent="0.2">
      <c r="B14" s="77" t="str">
        <f>IF('Step 2- Activity Inventory'!B17="","",'Step 2- Activity Inventory'!B17)</f>
        <v/>
      </c>
      <c r="C14" s="77" t="str">
        <f>IF('Step 2- Activity Inventory'!C17="","",'Step 2- Activity Inventory'!C17)</f>
        <v/>
      </c>
      <c r="D14" s="88" t="str">
        <f>IF('Step 2- Activity Inventory'!E17="","",'Step 2- Activity Inventory'!E17)</f>
        <v/>
      </c>
      <c r="E14" s="88" t="str">
        <f>IF('Step 2- Activity Inventory'!F17="","",'Step 2- Activity Inventory'!F17)</f>
        <v/>
      </c>
      <c r="F14" s="88" t="str">
        <f>IF(E14="Genius","N/A",IF('Step 2- Activity Inventory'!G17="","",'Step 2- Activity Inventory'!G17))</f>
        <v/>
      </c>
      <c r="G14" s="89" t="str">
        <f>IF('Step 2- Activity Inventory'!D17="","",'Step 2- Activity Inventory'!D17)</f>
        <v/>
      </c>
      <c r="H14" s="90"/>
      <c r="I14" s="24"/>
      <c r="J14" s="24"/>
      <c r="K14" s="91"/>
      <c r="L14" s="92" t="str">
        <f>IF(OR('Step 2- Activity Inventory'!O17=6,AND('Step 2- Activity Inventory'!O17=5,E14="Genius")),'Step 1- Hrly Rate Calc'!$D$18,"")</f>
        <v/>
      </c>
      <c r="M14" s="93" t="str">
        <f t="shared" si="0"/>
        <v/>
      </c>
      <c r="N14" s="93" t="str">
        <f>IF(L14="","",IF(IFERROR((G14/60)*M14*2*'Step 1- Hrly Rate Calc'!$D$14,"")&lt;0,"N/A",IFERROR((G14/60)*M14*2*'Step 1- Hrly Rate Calc'!$D$14,"")))</f>
        <v/>
      </c>
      <c r="O14" s="77" t="str">
        <f t="shared" si="1"/>
        <v/>
      </c>
      <c r="P14" s="77" t="str">
        <f t="shared" si="2"/>
        <v/>
      </c>
    </row>
    <row r="15" spans="2:58" s="61" customFormat="1" ht="34" customHeight="1" x14ac:dyDescent="0.2">
      <c r="B15" s="77" t="str">
        <f>IF('Step 2- Activity Inventory'!B18="","",'Step 2- Activity Inventory'!B18)</f>
        <v/>
      </c>
      <c r="C15" s="77" t="str">
        <f>IF('Step 2- Activity Inventory'!C18="","",'Step 2- Activity Inventory'!C18)</f>
        <v/>
      </c>
      <c r="D15" s="88" t="str">
        <f>IF('Step 2- Activity Inventory'!E18="","",'Step 2- Activity Inventory'!E18)</f>
        <v/>
      </c>
      <c r="E15" s="88" t="str">
        <f>IF('Step 2- Activity Inventory'!F18="","",'Step 2- Activity Inventory'!F18)</f>
        <v/>
      </c>
      <c r="F15" s="88" t="str">
        <f>IF(E15="Genius","N/A",IF('Step 2- Activity Inventory'!G18="","",'Step 2- Activity Inventory'!G18))</f>
        <v/>
      </c>
      <c r="G15" s="89" t="str">
        <f>IF('Step 2- Activity Inventory'!D18="","",'Step 2- Activity Inventory'!D18)</f>
        <v/>
      </c>
      <c r="H15" s="90"/>
      <c r="I15" s="24"/>
      <c r="J15" s="24"/>
      <c r="K15" s="91"/>
      <c r="L15" s="92" t="str">
        <f>IF(OR('Step 2- Activity Inventory'!O18=6,AND('Step 2- Activity Inventory'!O18=5,E15="Genius")),'Step 1- Hrly Rate Calc'!$D$18,"")</f>
        <v/>
      </c>
      <c r="M15" s="93" t="str">
        <f t="shared" si="0"/>
        <v/>
      </c>
      <c r="N15" s="93" t="str">
        <f>IF(L15="","",IF(IFERROR((G15/60)*M15*2*'Step 1- Hrly Rate Calc'!$D$14,"")&lt;0,"N/A",IFERROR((G15/60)*M15*2*'Step 1- Hrly Rate Calc'!$D$14,"")))</f>
        <v/>
      </c>
      <c r="O15" s="77" t="str">
        <f t="shared" si="1"/>
        <v/>
      </c>
      <c r="P15" s="77" t="str">
        <f t="shared" si="2"/>
        <v/>
      </c>
    </row>
    <row r="16" spans="2:58" s="61" customFormat="1" ht="34" customHeight="1" x14ac:dyDescent="0.2">
      <c r="B16" s="77" t="str">
        <f>IF('Step 2- Activity Inventory'!B19="","",'Step 2- Activity Inventory'!B19)</f>
        <v/>
      </c>
      <c r="C16" s="77" t="str">
        <f>IF('Step 2- Activity Inventory'!C19="","",'Step 2- Activity Inventory'!C19)</f>
        <v/>
      </c>
      <c r="D16" s="88" t="str">
        <f>IF('Step 2- Activity Inventory'!E19="","",'Step 2- Activity Inventory'!E19)</f>
        <v/>
      </c>
      <c r="E16" s="88" t="str">
        <f>IF('Step 2- Activity Inventory'!F19="","",'Step 2- Activity Inventory'!F19)</f>
        <v/>
      </c>
      <c r="F16" s="88" t="str">
        <f>IF(E16="Genius","N/A",IF('Step 2- Activity Inventory'!G19="","",'Step 2- Activity Inventory'!G19))</f>
        <v/>
      </c>
      <c r="G16" s="89" t="str">
        <f>IF('Step 2- Activity Inventory'!D19="","",'Step 2- Activity Inventory'!D19)</f>
        <v/>
      </c>
      <c r="H16" s="90"/>
      <c r="I16" s="24"/>
      <c r="J16" s="24"/>
      <c r="K16" s="91"/>
      <c r="L16" s="92" t="str">
        <f>IF(OR('Step 2- Activity Inventory'!O19=6,AND('Step 2- Activity Inventory'!O19=5,E16="Genius")),'Step 1- Hrly Rate Calc'!$D$18,"")</f>
        <v/>
      </c>
      <c r="M16" s="93" t="str">
        <f t="shared" si="0"/>
        <v/>
      </c>
      <c r="N16" s="93" t="str">
        <f>IF(L16="","",IF(IFERROR((G16/60)*M16*2*'Step 1- Hrly Rate Calc'!$D$14,"")&lt;0,"N/A",IFERROR((G16/60)*M16*2*'Step 1- Hrly Rate Calc'!$D$14,"")))</f>
        <v/>
      </c>
      <c r="O16" s="77" t="str">
        <f t="shared" si="1"/>
        <v/>
      </c>
      <c r="P16" s="77" t="str">
        <f t="shared" si="2"/>
        <v/>
      </c>
    </row>
    <row r="17" spans="2:16" s="61" customFormat="1" ht="34" customHeight="1" x14ac:dyDescent="0.2">
      <c r="B17" s="77" t="str">
        <f>IF('Step 2- Activity Inventory'!B20="","",'Step 2- Activity Inventory'!B20)</f>
        <v/>
      </c>
      <c r="C17" s="77" t="str">
        <f>IF('Step 2- Activity Inventory'!C20="","",'Step 2- Activity Inventory'!C20)</f>
        <v/>
      </c>
      <c r="D17" s="88" t="str">
        <f>IF('Step 2- Activity Inventory'!E20="","",'Step 2- Activity Inventory'!E20)</f>
        <v/>
      </c>
      <c r="E17" s="88" t="str">
        <f>IF('Step 2- Activity Inventory'!F20="","",'Step 2- Activity Inventory'!F20)</f>
        <v/>
      </c>
      <c r="F17" s="88" t="str">
        <f>IF(E17="Genius","N/A",IF('Step 2- Activity Inventory'!G20="","",'Step 2- Activity Inventory'!G20))</f>
        <v/>
      </c>
      <c r="G17" s="89" t="str">
        <f>IF('Step 2- Activity Inventory'!D20="","",'Step 2- Activity Inventory'!D20)</f>
        <v/>
      </c>
      <c r="H17" s="90"/>
      <c r="I17" s="24"/>
      <c r="J17" s="24"/>
      <c r="K17" s="91"/>
      <c r="L17" s="92" t="str">
        <f>IF(OR('Step 2- Activity Inventory'!O20=6,AND('Step 2- Activity Inventory'!O20=5,E17="Genius")),'Step 1- Hrly Rate Calc'!$D$18,"")</f>
        <v/>
      </c>
      <c r="M17" s="93" t="str">
        <f t="shared" si="0"/>
        <v/>
      </c>
      <c r="N17" s="93" t="str">
        <f>IF(L17="","",IF(IFERROR((G17/60)*M17*2*'Step 1- Hrly Rate Calc'!$D$14,"")&lt;0,"N/A",IFERROR((G17/60)*M17*2*'Step 1- Hrly Rate Calc'!$D$14,"")))</f>
        <v/>
      </c>
      <c r="O17" s="77" t="str">
        <f t="shared" si="1"/>
        <v/>
      </c>
      <c r="P17" s="77" t="str">
        <f t="shared" si="2"/>
        <v/>
      </c>
    </row>
    <row r="18" spans="2:16" s="61" customFormat="1" ht="34" customHeight="1" x14ac:dyDescent="0.2">
      <c r="B18" s="77" t="str">
        <f>IF('Step 2- Activity Inventory'!B21="","",'Step 2- Activity Inventory'!B21)</f>
        <v/>
      </c>
      <c r="C18" s="77" t="str">
        <f>IF('Step 2- Activity Inventory'!C21="","",'Step 2- Activity Inventory'!C21)</f>
        <v/>
      </c>
      <c r="D18" s="88" t="str">
        <f>IF('Step 2- Activity Inventory'!E21="","",'Step 2- Activity Inventory'!E21)</f>
        <v/>
      </c>
      <c r="E18" s="88" t="str">
        <f>IF('Step 2- Activity Inventory'!F21="","",'Step 2- Activity Inventory'!F21)</f>
        <v/>
      </c>
      <c r="F18" s="88" t="str">
        <f>IF(E18="Genius","N/A",IF('Step 2- Activity Inventory'!G21="","",'Step 2- Activity Inventory'!G21))</f>
        <v/>
      </c>
      <c r="G18" s="89" t="str">
        <f>IF('Step 2- Activity Inventory'!D21="","",'Step 2- Activity Inventory'!D21)</f>
        <v/>
      </c>
      <c r="H18" s="90"/>
      <c r="I18" s="24"/>
      <c r="J18" s="24"/>
      <c r="K18" s="91"/>
      <c r="L18" s="92" t="str">
        <f>IF(OR('Step 2- Activity Inventory'!O21=6,AND('Step 2- Activity Inventory'!O21=5,E18="Genius")),'Step 1- Hrly Rate Calc'!$D$18,"")</f>
        <v/>
      </c>
      <c r="M18" s="93" t="str">
        <f t="shared" si="0"/>
        <v/>
      </c>
      <c r="N18" s="93" t="str">
        <f>IF(L18="","",IF(IFERROR((G18/60)*M18*2*'Step 1- Hrly Rate Calc'!$D$14,"")&lt;0,"N/A",IFERROR((G18/60)*M18*2*'Step 1- Hrly Rate Calc'!$D$14,"")))</f>
        <v/>
      </c>
      <c r="O18" s="77" t="str">
        <f t="shared" si="1"/>
        <v/>
      </c>
      <c r="P18" s="77" t="str">
        <f t="shared" si="2"/>
        <v/>
      </c>
    </row>
    <row r="19" spans="2:16" s="61" customFormat="1" ht="34" customHeight="1" x14ac:dyDescent="0.2">
      <c r="B19" s="77" t="str">
        <f>IF('Step 2- Activity Inventory'!B22="","",'Step 2- Activity Inventory'!B22)</f>
        <v/>
      </c>
      <c r="C19" s="77" t="str">
        <f>IF('Step 2- Activity Inventory'!C22="","",'Step 2- Activity Inventory'!C22)</f>
        <v/>
      </c>
      <c r="D19" s="88" t="str">
        <f>IF('Step 2- Activity Inventory'!E22="","",'Step 2- Activity Inventory'!E22)</f>
        <v/>
      </c>
      <c r="E19" s="88" t="str">
        <f>IF('Step 2- Activity Inventory'!F22="","",'Step 2- Activity Inventory'!F22)</f>
        <v/>
      </c>
      <c r="F19" s="88" t="str">
        <f>IF(E19="Genius","N/A",IF('Step 2- Activity Inventory'!G22="","",'Step 2- Activity Inventory'!G22))</f>
        <v/>
      </c>
      <c r="G19" s="89" t="str">
        <f>IF('Step 2- Activity Inventory'!D22="","",'Step 2- Activity Inventory'!D22)</f>
        <v/>
      </c>
      <c r="H19" s="90"/>
      <c r="I19" s="24"/>
      <c r="J19" s="24"/>
      <c r="K19" s="91"/>
      <c r="L19" s="92" t="str">
        <f>IF(OR('Step 2- Activity Inventory'!O22=6,AND('Step 2- Activity Inventory'!O22=5,E19="Genius")),'Step 1- Hrly Rate Calc'!$D$18,"")</f>
        <v/>
      </c>
      <c r="M19" s="93" t="str">
        <f t="shared" si="0"/>
        <v/>
      </c>
      <c r="N19" s="93" t="str">
        <f>IF(L19="","",IF(IFERROR((G19/60)*M19*2*'Step 1- Hrly Rate Calc'!$D$14,"")&lt;0,"N/A",IFERROR((G19/60)*M19*2*'Step 1- Hrly Rate Calc'!$D$14,"")))</f>
        <v/>
      </c>
      <c r="O19" s="77" t="str">
        <f t="shared" si="1"/>
        <v/>
      </c>
      <c r="P19" s="77" t="str">
        <f t="shared" si="2"/>
        <v/>
      </c>
    </row>
    <row r="20" spans="2:16" s="61" customFormat="1" ht="34" customHeight="1" x14ac:dyDescent="0.2">
      <c r="B20" s="77" t="str">
        <f>IF('Step 2- Activity Inventory'!B23="","",'Step 2- Activity Inventory'!B23)</f>
        <v/>
      </c>
      <c r="C20" s="77" t="str">
        <f>IF('Step 2- Activity Inventory'!C23="","",'Step 2- Activity Inventory'!C23)</f>
        <v/>
      </c>
      <c r="D20" s="88" t="str">
        <f>IF('Step 2- Activity Inventory'!E23="","",'Step 2- Activity Inventory'!E23)</f>
        <v/>
      </c>
      <c r="E20" s="88" t="str">
        <f>IF('Step 2- Activity Inventory'!F23="","",'Step 2- Activity Inventory'!F23)</f>
        <v/>
      </c>
      <c r="F20" s="88" t="str">
        <f>IF(E20="Genius","N/A",IF('Step 2- Activity Inventory'!G23="","",'Step 2- Activity Inventory'!G23))</f>
        <v/>
      </c>
      <c r="G20" s="89" t="str">
        <f>IF('Step 2- Activity Inventory'!D23="","",'Step 2- Activity Inventory'!D23)</f>
        <v/>
      </c>
      <c r="H20" s="90"/>
      <c r="I20" s="24"/>
      <c r="J20" s="24"/>
      <c r="K20" s="91"/>
      <c r="L20" s="92" t="str">
        <f>IF(OR('Step 2- Activity Inventory'!O23=6,AND('Step 2- Activity Inventory'!O23=5,E20="Genius")),'Step 1- Hrly Rate Calc'!$D$18,"")</f>
        <v/>
      </c>
      <c r="M20" s="93" t="str">
        <f t="shared" si="0"/>
        <v/>
      </c>
      <c r="N20" s="93" t="str">
        <f>IF(L20="","",IF(IFERROR((G20/60)*M20*2*'Step 1- Hrly Rate Calc'!$D$14,"")&lt;0,"N/A",IFERROR((G20/60)*M20*2*'Step 1- Hrly Rate Calc'!$D$14,"")))</f>
        <v/>
      </c>
      <c r="O20" s="77" t="str">
        <f t="shared" si="1"/>
        <v/>
      </c>
      <c r="P20" s="77" t="str">
        <f t="shared" si="2"/>
        <v/>
      </c>
    </row>
    <row r="21" spans="2:16" s="61" customFormat="1" ht="34" customHeight="1" x14ac:dyDescent="0.2">
      <c r="B21" s="77" t="str">
        <f>IF('Step 2- Activity Inventory'!B24="","",'Step 2- Activity Inventory'!B24)</f>
        <v/>
      </c>
      <c r="C21" s="77" t="str">
        <f>IF('Step 2- Activity Inventory'!C24="","",'Step 2- Activity Inventory'!C24)</f>
        <v/>
      </c>
      <c r="D21" s="88" t="str">
        <f>IF('Step 2- Activity Inventory'!E24="","",'Step 2- Activity Inventory'!E24)</f>
        <v/>
      </c>
      <c r="E21" s="88" t="str">
        <f>IF('Step 2- Activity Inventory'!F24="","",'Step 2- Activity Inventory'!F24)</f>
        <v/>
      </c>
      <c r="F21" s="88" t="str">
        <f>IF(E21="Genius","N/A",IF('Step 2- Activity Inventory'!G24="","",'Step 2- Activity Inventory'!G24))</f>
        <v/>
      </c>
      <c r="G21" s="89" t="str">
        <f>IF('Step 2- Activity Inventory'!D24="","",'Step 2- Activity Inventory'!D24)</f>
        <v/>
      </c>
      <c r="H21" s="90"/>
      <c r="I21" s="24"/>
      <c r="J21" s="24"/>
      <c r="K21" s="91"/>
      <c r="L21" s="92" t="str">
        <f>IF(OR('Step 2- Activity Inventory'!O24=6,AND('Step 2- Activity Inventory'!O24=5,E21="Genius")),'Step 1- Hrly Rate Calc'!$D$18,"")</f>
        <v/>
      </c>
      <c r="M21" s="93" t="str">
        <f t="shared" si="0"/>
        <v/>
      </c>
      <c r="N21" s="93" t="str">
        <f>IF(L21="","",IF(IFERROR((G21/60)*M21*2*'Step 1- Hrly Rate Calc'!$D$14,"")&lt;0,"N/A",IFERROR((G21/60)*M21*2*'Step 1- Hrly Rate Calc'!$D$14,"")))</f>
        <v/>
      </c>
      <c r="O21" s="77" t="str">
        <f t="shared" si="1"/>
        <v/>
      </c>
      <c r="P21" s="77" t="str">
        <f t="shared" si="2"/>
        <v/>
      </c>
    </row>
    <row r="22" spans="2:16" s="61" customFormat="1" ht="34" customHeight="1" x14ac:dyDescent="0.2">
      <c r="B22" s="77" t="str">
        <f>IF('Step 2- Activity Inventory'!B25="","",'Step 2- Activity Inventory'!B25)</f>
        <v/>
      </c>
      <c r="C22" s="77" t="str">
        <f>IF('Step 2- Activity Inventory'!C25="","",'Step 2- Activity Inventory'!C25)</f>
        <v/>
      </c>
      <c r="D22" s="88" t="str">
        <f>IF('Step 2- Activity Inventory'!E25="","",'Step 2- Activity Inventory'!E25)</f>
        <v/>
      </c>
      <c r="E22" s="88" t="str">
        <f>IF('Step 2- Activity Inventory'!F25="","",'Step 2- Activity Inventory'!F25)</f>
        <v/>
      </c>
      <c r="F22" s="88" t="str">
        <f>IF(E22="Genius","N/A",IF('Step 2- Activity Inventory'!G25="","",'Step 2- Activity Inventory'!G25))</f>
        <v/>
      </c>
      <c r="G22" s="89" t="str">
        <f>IF('Step 2- Activity Inventory'!D25="","",'Step 2- Activity Inventory'!D25)</f>
        <v/>
      </c>
      <c r="H22" s="90"/>
      <c r="I22" s="24"/>
      <c r="J22" s="24"/>
      <c r="K22" s="91"/>
      <c r="L22" s="92" t="str">
        <f>IF(OR('Step 2- Activity Inventory'!O25=6,AND('Step 2- Activity Inventory'!O25=5,E22="Genius")),'Step 1- Hrly Rate Calc'!$D$18,"")</f>
        <v/>
      </c>
      <c r="M22" s="93" t="str">
        <f t="shared" si="0"/>
        <v/>
      </c>
      <c r="N22" s="93" t="str">
        <f>IF(L22="","",IF(IFERROR((G22/60)*M22*2*'Step 1- Hrly Rate Calc'!$D$14,"")&lt;0,"N/A",IFERROR((G22/60)*M22*2*'Step 1- Hrly Rate Calc'!$D$14,"")))</f>
        <v/>
      </c>
      <c r="O22" s="77" t="str">
        <f t="shared" si="1"/>
        <v/>
      </c>
      <c r="P22" s="77" t="str">
        <f t="shared" si="2"/>
        <v/>
      </c>
    </row>
    <row r="23" spans="2:16" s="61" customFormat="1" ht="34" customHeight="1" x14ac:dyDescent="0.2">
      <c r="B23" s="77" t="str">
        <f>IF('Step 2- Activity Inventory'!B26="","",'Step 2- Activity Inventory'!B26)</f>
        <v/>
      </c>
      <c r="C23" s="77" t="str">
        <f>IF('Step 2- Activity Inventory'!C26="","",'Step 2- Activity Inventory'!C26)</f>
        <v/>
      </c>
      <c r="D23" s="88" t="str">
        <f>IF('Step 2- Activity Inventory'!E26="","",'Step 2- Activity Inventory'!E26)</f>
        <v/>
      </c>
      <c r="E23" s="88" t="str">
        <f>IF('Step 2- Activity Inventory'!F26="","",'Step 2- Activity Inventory'!F26)</f>
        <v/>
      </c>
      <c r="F23" s="88" t="str">
        <f>IF(E23="Genius","N/A",IF('Step 2- Activity Inventory'!G26="","",'Step 2- Activity Inventory'!G26))</f>
        <v/>
      </c>
      <c r="G23" s="89" t="str">
        <f>IF('Step 2- Activity Inventory'!D26="","",'Step 2- Activity Inventory'!D26)</f>
        <v/>
      </c>
      <c r="H23" s="90"/>
      <c r="I23" s="24"/>
      <c r="J23" s="24"/>
      <c r="K23" s="91"/>
      <c r="L23" s="92" t="str">
        <f>IF(OR('Step 2- Activity Inventory'!O26=6,AND('Step 2- Activity Inventory'!O26=5,E23="Genius")),'Step 1- Hrly Rate Calc'!$D$18,"")</f>
        <v/>
      </c>
      <c r="M23" s="93" t="str">
        <f t="shared" si="0"/>
        <v/>
      </c>
      <c r="N23" s="93" t="str">
        <f>IF(L23="","",IF(IFERROR((G23/60)*M23*2*'Step 1- Hrly Rate Calc'!$D$14,"")&lt;0,"N/A",IFERROR((G23/60)*M23*2*'Step 1- Hrly Rate Calc'!$D$14,"")))</f>
        <v/>
      </c>
      <c r="O23" s="77" t="str">
        <f t="shared" si="1"/>
        <v/>
      </c>
      <c r="P23" s="77" t="str">
        <f t="shared" si="2"/>
        <v/>
      </c>
    </row>
    <row r="24" spans="2:16" s="61" customFormat="1" ht="34" customHeight="1" x14ac:dyDescent="0.2">
      <c r="B24" s="77" t="str">
        <f>IF('Step 2- Activity Inventory'!B27="","",'Step 2- Activity Inventory'!B27)</f>
        <v/>
      </c>
      <c r="C24" s="77" t="str">
        <f>IF('Step 2- Activity Inventory'!C27="","",'Step 2- Activity Inventory'!C27)</f>
        <v/>
      </c>
      <c r="D24" s="88" t="str">
        <f>IF('Step 2- Activity Inventory'!E27="","",'Step 2- Activity Inventory'!E27)</f>
        <v/>
      </c>
      <c r="E24" s="88" t="str">
        <f>IF('Step 2- Activity Inventory'!F27="","",'Step 2- Activity Inventory'!F27)</f>
        <v/>
      </c>
      <c r="F24" s="88" t="str">
        <f>IF(E24="Genius","N/A",IF('Step 2- Activity Inventory'!G27="","",'Step 2- Activity Inventory'!G27))</f>
        <v/>
      </c>
      <c r="G24" s="89" t="str">
        <f>IF('Step 2- Activity Inventory'!D27="","",'Step 2- Activity Inventory'!D27)</f>
        <v/>
      </c>
      <c r="H24" s="90"/>
      <c r="I24" s="24"/>
      <c r="J24" s="24"/>
      <c r="K24" s="91"/>
      <c r="L24" s="92" t="str">
        <f>IF(OR('Step 2- Activity Inventory'!O27=6,AND('Step 2- Activity Inventory'!O27=5,E24="Genius")),'Step 1- Hrly Rate Calc'!$D$18,"")</f>
        <v/>
      </c>
      <c r="M24" s="93" t="str">
        <f t="shared" si="0"/>
        <v/>
      </c>
      <c r="N24" s="93" t="str">
        <f>IF(L24="","",IF(IFERROR((G24/60)*M24*2*'Step 1- Hrly Rate Calc'!$D$14,"")&lt;0,"N/A",IFERROR((G24/60)*M24*2*'Step 1- Hrly Rate Calc'!$D$14,"")))</f>
        <v/>
      </c>
      <c r="O24" s="77" t="str">
        <f t="shared" si="1"/>
        <v/>
      </c>
      <c r="P24" s="77" t="str">
        <f t="shared" si="2"/>
        <v/>
      </c>
    </row>
    <row r="25" spans="2:16" s="61" customFormat="1" ht="34" customHeight="1" x14ac:dyDescent="0.2">
      <c r="B25" s="77" t="str">
        <f>IF('Step 2- Activity Inventory'!B28="","",'Step 2- Activity Inventory'!B28)</f>
        <v/>
      </c>
      <c r="C25" s="77" t="str">
        <f>IF('Step 2- Activity Inventory'!C28="","",'Step 2- Activity Inventory'!C28)</f>
        <v/>
      </c>
      <c r="D25" s="88" t="str">
        <f>IF('Step 2- Activity Inventory'!E28="","",'Step 2- Activity Inventory'!E28)</f>
        <v/>
      </c>
      <c r="E25" s="88" t="str">
        <f>IF('Step 2- Activity Inventory'!F28="","",'Step 2- Activity Inventory'!F28)</f>
        <v/>
      </c>
      <c r="F25" s="88" t="str">
        <f>IF(E25="Genius","N/A",IF('Step 2- Activity Inventory'!G28="","",'Step 2- Activity Inventory'!G28))</f>
        <v/>
      </c>
      <c r="G25" s="89" t="str">
        <f>IF('Step 2- Activity Inventory'!D28="","",'Step 2- Activity Inventory'!D28)</f>
        <v/>
      </c>
      <c r="H25" s="90"/>
      <c r="I25" s="24"/>
      <c r="J25" s="24"/>
      <c r="K25" s="91"/>
      <c r="L25" s="92" t="str">
        <f>IF(OR('Step 2- Activity Inventory'!O28=6,AND('Step 2- Activity Inventory'!O28=5,E25="Genius")),'Step 1- Hrly Rate Calc'!$D$18,"")</f>
        <v/>
      </c>
      <c r="M25" s="93" t="str">
        <f t="shared" si="0"/>
        <v/>
      </c>
      <c r="N25" s="93" t="str">
        <f>IF(L25="","",IF(IFERROR((G25/60)*M25*2*'Step 1- Hrly Rate Calc'!$D$14,"")&lt;0,"N/A",IFERROR((G25/60)*M25*2*'Step 1- Hrly Rate Calc'!$D$14,"")))</f>
        <v/>
      </c>
      <c r="O25" s="77" t="str">
        <f t="shared" si="1"/>
        <v/>
      </c>
      <c r="P25" s="77" t="str">
        <f t="shared" si="2"/>
        <v/>
      </c>
    </row>
    <row r="26" spans="2:16" s="61" customFormat="1" ht="34" customHeight="1" x14ac:dyDescent="0.2">
      <c r="B26" s="77" t="str">
        <f>IF('Step 2- Activity Inventory'!B29="","",'Step 2- Activity Inventory'!B29)</f>
        <v/>
      </c>
      <c r="C26" s="77" t="str">
        <f>IF('Step 2- Activity Inventory'!C29="","",'Step 2- Activity Inventory'!C29)</f>
        <v/>
      </c>
      <c r="D26" s="88" t="str">
        <f>IF('Step 2- Activity Inventory'!E29="","",'Step 2- Activity Inventory'!E29)</f>
        <v/>
      </c>
      <c r="E26" s="88" t="str">
        <f>IF('Step 2- Activity Inventory'!F29="","",'Step 2- Activity Inventory'!F29)</f>
        <v/>
      </c>
      <c r="F26" s="88" t="str">
        <f>IF(E26="Genius","N/A",IF('Step 2- Activity Inventory'!G29="","",'Step 2- Activity Inventory'!G29))</f>
        <v/>
      </c>
      <c r="G26" s="89" t="str">
        <f>IF('Step 2- Activity Inventory'!D29="","",'Step 2- Activity Inventory'!D29)</f>
        <v/>
      </c>
      <c r="H26" s="90"/>
      <c r="I26" s="24"/>
      <c r="J26" s="24"/>
      <c r="K26" s="91"/>
      <c r="L26" s="92" t="str">
        <f>IF(OR('Step 2- Activity Inventory'!O29=6,AND('Step 2- Activity Inventory'!O29=5,E26="Genius")),'Step 1- Hrly Rate Calc'!$D$18,"")</f>
        <v/>
      </c>
      <c r="M26" s="93" t="str">
        <f t="shared" si="0"/>
        <v/>
      </c>
      <c r="N26" s="93" t="str">
        <f>IF(L26="","",IF(IFERROR((G26/60)*M26*2*'Step 1- Hrly Rate Calc'!$D$14,"")&lt;0,"N/A",IFERROR((G26/60)*M26*2*'Step 1- Hrly Rate Calc'!$D$14,"")))</f>
        <v/>
      </c>
      <c r="O26" s="77" t="str">
        <f t="shared" si="1"/>
        <v/>
      </c>
      <c r="P26" s="77" t="str">
        <f t="shared" si="2"/>
        <v/>
      </c>
    </row>
    <row r="27" spans="2:16" s="61" customFormat="1" ht="34" customHeight="1" x14ac:dyDescent="0.2">
      <c r="B27" s="77" t="str">
        <f>IF('Step 2- Activity Inventory'!B30="","",'Step 2- Activity Inventory'!B30)</f>
        <v/>
      </c>
      <c r="C27" s="77" t="str">
        <f>IF('Step 2- Activity Inventory'!C30="","",'Step 2- Activity Inventory'!C30)</f>
        <v/>
      </c>
      <c r="D27" s="88" t="str">
        <f>IF('Step 2- Activity Inventory'!E30="","",'Step 2- Activity Inventory'!E30)</f>
        <v/>
      </c>
      <c r="E27" s="88" t="str">
        <f>IF('Step 2- Activity Inventory'!F30="","",'Step 2- Activity Inventory'!F30)</f>
        <v/>
      </c>
      <c r="F27" s="88" t="str">
        <f>IF(E27="Genius","N/A",IF('Step 2- Activity Inventory'!G30="","",'Step 2- Activity Inventory'!G30))</f>
        <v/>
      </c>
      <c r="G27" s="89" t="str">
        <f>IF('Step 2- Activity Inventory'!D30="","",'Step 2- Activity Inventory'!D30)</f>
        <v/>
      </c>
      <c r="H27" s="90"/>
      <c r="I27" s="24"/>
      <c r="J27" s="24"/>
      <c r="K27" s="91"/>
      <c r="L27" s="92" t="str">
        <f>IF(OR('Step 2- Activity Inventory'!O30=6,AND('Step 2- Activity Inventory'!O30=5,E27="Genius")),'Step 1- Hrly Rate Calc'!$D$18,"")</f>
        <v/>
      </c>
      <c r="M27" s="93" t="str">
        <f t="shared" si="0"/>
        <v/>
      </c>
      <c r="N27" s="93" t="str">
        <f>IF(L27="","",IF(IFERROR((G27/60)*M27*2*'Step 1- Hrly Rate Calc'!$D$14,"")&lt;0,"N/A",IFERROR((G27/60)*M27*2*'Step 1- Hrly Rate Calc'!$D$14,"")))</f>
        <v/>
      </c>
      <c r="O27" s="77" t="str">
        <f t="shared" si="1"/>
        <v/>
      </c>
      <c r="P27" s="77" t="str">
        <f t="shared" si="2"/>
        <v/>
      </c>
    </row>
    <row r="28" spans="2:16" s="61" customFormat="1" ht="34" customHeight="1" x14ac:dyDescent="0.2">
      <c r="B28" s="77" t="str">
        <f>IF('Step 2- Activity Inventory'!B31="","",'Step 2- Activity Inventory'!B31)</f>
        <v/>
      </c>
      <c r="C28" s="77" t="str">
        <f>IF('Step 2- Activity Inventory'!C31="","",'Step 2- Activity Inventory'!C31)</f>
        <v/>
      </c>
      <c r="D28" s="88" t="str">
        <f>IF('Step 2- Activity Inventory'!E31="","",'Step 2- Activity Inventory'!E31)</f>
        <v/>
      </c>
      <c r="E28" s="88" t="str">
        <f>IF('Step 2- Activity Inventory'!F31="","",'Step 2- Activity Inventory'!F31)</f>
        <v/>
      </c>
      <c r="F28" s="88" t="str">
        <f>IF(E28="Genius","N/A",IF('Step 2- Activity Inventory'!G31="","",'Step 2- Activity Inventory'!G31))</f>
        <v/>
      </c>
      <c r="G28" s="89" t="str">
        <f>IF('Step 2- Activity Inventory'!D31="","",'Step 2- Activity Inventory'!D31)</f>
        <v/>
      </c>
      <c r="H28" s="90"/>
      <c r="I28" s="24"/>
      <c r="J28" s="24"/>
      <c r="K28" s="91"/>
      <c r="L28" s="92" t="str">
        <f>IF(OR('Step 2- Activity Inventory'!O31=6,AND('Step 2- Activity Inventory'!O31=5,E28="Genius")),'Step 1- Hrly Rate Calc'!$D$18,"")</f>
        <v/>
      </c>
      <c r="M28" s="93" t="str">
        <f t="shared" si="0"/>
        <v/>
      </c>
      <c r="N28" s="93" t="str">
        <f>IF(L28="","",IF(IFERROR((G28/60)*M28*2*'Step 1- Hrly Rate Calc'!$D$14,"")&lt;0,"N/A",IFERROR((G28/60)*M28*2*'Step 1- Hrly Rate Calc'!$D$14,"")))</f>
        <v/>
      </c>
      <c r="O28" s="77" t="str">
        <f t="shared" si="1"/>
        <v/>
      </c>
      <c r="P28" s="77" t="str">
        <f t="shared" si="2"/>
        <v/>
      </c>
    </row>
    <row r="29" spans="2:16" s="61" customFormat="1" ht="34" customHeight="1" x14ac:dyDescent="0.2">
      <c r="B29" s="77" t="str">
        <f>IF('Step 2- Activity Inventory'!B32="","",'Step 2- Activity Inventory'!B32)</f>
        <v/>
      </c>
      <c r="C29" s="77" t="str">
        <f>IF('Step 2- Activity Inventory'!C32="","",'Step 2- Activity Inventory'!C32)</f>
        <v/>
      </c>
      <c r="D29" s="88" t="str">
        <f>IF('Step 2- Activity Inventory'!E32="","",'Step 2- Activity Inventory'!E32)</f>
        <v/>
      </c>
      <c r="E29" s="88" t="str">
        <f>IF('Step 2- Activity Inventory'!F32="","",'Step 2- Activity Inventory'!F32)</f>
        <v/>
      </c>
      <c r="F29" s="88" t="str">
        <f>IF(E29="Genius","N/A",IF('Step 2- Activity Inventory'!G32="","",'Step 2- Activity Inventory'!G32))</f>
        <v/>
      </c>
      <c r="G29" s="89" t="str">
        <f>IF('Step 2- Activity Inventory'!D32="","",'Step 2- Activity Inventory'!D32)</f>
        <v/>
      </c>
      <c r="H29" s="90"/>
      <c r="I29" s="24"/>
      <c r="J29" s="24"/>
      <c r="K29" s="91"/>
      <c r="L29" s="92" t="str">
        <f>IF(OR('Step 2- Activity Inventory'!O32=6,AND('Step 2- Activity Inventory'!O32=5,E29="Genius")),'Step 1- Hrly Rate Calc'!$D$18,"")</f>
        <v/>
      </c>
      <c r="M29" s="93" t="str">
        <f t="shared" si="0"/>
        <v/>
      </c>
      <c r="N29" s="93" t="str">
        <f>IF(L29="","",IF(IFERROR((G29/60)*M29*2*'Step 1- Hrly Rate Calc'!$D$14,"")&lt;0,"N/A",IFERROR((G29/60)*M29*2*'Step 1- Hrly Rate Calc'!$D$14,"")))</f>
        <v/>
      </c>
      <c r="O29" s="77" t="str">
        <f t="shared" si="1"/>
        <v/>
      </c>
      <c r="P29" s="77" t="str">
        <f t="shared" si="2"/>
        <v/>
      </c>
    </row>
    <row r="30" spans="2:16" s="61" customFormat="1" ht="34" customHeight="1" x14ac:dyDescent="0.2">
      <c r="B30" s="77" t="str">
        <f>IF('Step 2- Activity Inventory'!B33="","",'Step 2- Activity Inventory'!B33)</f>
        <v/>
      </c>
      <c r="C30" s="77" t="str">
        <f>IF('Step 2- Activity Inventory'!C33="","",'Step 2- Activity Inventory'!C33)</f>
        <v/>
      </c>
      <c r="D30" s="88" t="str">
        <f>IF('Step 2- Activity Inventory'!E33="","",'Step 2- Activity Inventory'!E33)</f>
        <v/>
      </c>
      <c r="E30" s="88" t="str">
        <f>IF('Step 2- Activity Inventory'!F33="","",'Step 2- Activity Inventory'!F33)</f>
        <v/>
      </c>
      <c r="F30" s="88" t="str">
        <f>IF(E30="Genius","N/A",IF('Step 2- Activity Inventory'!G33="","",'Step 2- Activity Inventory'!G33))</f>
        <v/>
      </c>
      <c r="G30" s="89" t="str">
        <f>IF('Step 2- Activity Inventory'!D33="","",'Step 2- Activity Inventory'!D33)</f>
        <v/>
      </c>
      <c r="H30" s="90"/>
      <c r="I30" s="24"/>
      <c r="J30" s="24"/>
      <c r="K30" s="91"/>
      <c r="L30" s="92" t="str">
        <f>IF(OR('Step 2- Activity Inventory'!O33=6,AND('Step 2- Activity Inventory'!O33=5,E30="Genius")),'Step 1- Hrly Rate Calc'!$D$18,"")</f>
        <v/>
      </c>
      <c r="M30" s="93" t="str">
        <f t="shared" si="0"/>
        <v/>
      </c>
      <c r="N30" s="93" t="str">
        <f>IF(L30="","",IF(IFERROR((G30/60)*M30*2*'Step 1- Hrly Rate Calc'!$D$14,"")&lt;0,"N/A",IFERROR((G30/60)*M30*2*'Step 1- Hrly Rate Calc'!$D$14,"")))</f>
        <v/>
      </c>
      <c r="O30" s="77" t="str">
        <f t="shared" si="1"/>
        <v/>
      </c>
      <c r="P30" s="77" t="str">
        <f t="shared" si="2"/>
        <v/>
      </c>
    </row>
    <row r="31" spans="2:16" s="61" customFormat="1" ht="34" customHeight="1" x14ac:dyDescent="0.2">
      <c r="B31" s="77" t="str">
        <f>IF('Step 2- Activity Inventory'!B34="","",'Step 2- Activity Inventory'!B34)</f>
        <v/>
      </c>
      <c r="C31" s="77" t="str">
        <f>IF('Step 2- Activity Inventory'!C34="","",'Step 2- Activity Inventory'!C34)</f>
        <v/>
      </c>
      <c r="D31" s="88" t="str">
        <f>IF('Step 2- Activity Inventory'!E34="","",'Step 2- Activity Inventory'!E34)</f>
        <v/>
      </c>
      <c r="E31" s="88" t="str">
        <f>IF('Step 2- Activity Inventory'!F34="","",'Step 2- Activity Inventory'!F34)</f>
        <v/>
      </c>
      <c r="F31" s="88" t="str">
        <f>IF(E31="Genius","N/A",IF('Step 2- Activity Inventory'!G34="","",'Step 2- Activity Inventory'!G34))</f>
        <v/>
      </c>
      <c r="G31" s="89" t="str">
        <f>IF('Step 2- Activity Inventory'!D34="","",'Step 2- Activity Inventory'!D34)</f>
        <v/>
      </c>
      <c r="H31" s="90"/>
      <c r="I31" s="24"/>
      <c r="J31" s="24"/>
      <c r="K31" s="91"/>
      <c r="L31" s="92" t="str">
        <f>IF(OR('Step 2- Activity Inventory'!O34=6,AND('Step 2- Activity Inventory'!O34=5,E31="Genius")),'Step 1- Hrly Rate Calc'!$D$18,"")</f>
        <v/>
      </c>
      <c r="M31" s="93" t="str">
        <f t="shared" si="0"/>
        <v/>
      </c>
      <c r="N31" s="93" t="str">
        <f>IF(L31="","",IF(IFERROR((G31/60)*M31*2*'Step 1- Hrly Rate Calc'!$D$14,"")&lt;0,"N/A",IFERROR((G31/60)*M31*2*'Step 1- Hrly Rate Calc'!$D$14,"")))</f>
        <v/>
      </c>
      <c r="O31" s="77" t="str">
        <f t="shared" si="1"/>
        <v/>
      </c>
      <c r="P31" s="77" t="str">
        <f t="shared" si="2"/>
        <v/>
      </c>
    </row>
    <row r="32" spans="2:16" s="61" customFormat="1" ht="34" customHeight="1" x14ac:dyDescent="0.2">
      <c r="B32" s="77" t="str">
        <f>IF('Step 2- Activity Inventory'!B35="","",'Step 2- Activity Inventory'!B35)</f>
        <v/>
      </c>
      <c r="C32" s="77" t="str">
        <f>IF('Step 2- Activity Inventory'!C35="","",'Step 2- Activity Inventory'!C35)</f>
        <v/>
      </c>
      <c r="D32" s="88" t="str">
        <f>IF('Step 2- Activity Inventory'!E35="","",'Step 2- Activity Inventory'!E35)</f>
        <v/>
      </c>
      <c r="E32" s="88" t="str">
        <f>IF('Step 2- Activity Inventory'!F35="","",'Step 2- Activity Inventory'!F35)</f>
        <v/>
      </c>
      <c r="F32" s="88" t="str">
        <f>IF(E32="Genius","N/A",IF('Step 2- Activity Inventory'!G35="","",'Step 2- Activity Inventory'!G35))</f>
        <v/>
      </c>
      <c r="G32" s="89" t="str">
        <f>IF('Step 2- Activity Inventory'!D35="","",'Step 2- Activity Inventory'!D35)</f>
        <v/>
      </c>
      <c r="H32" s="90"/>
      <c r="I32" s="24"/>
      <c r="J32" s="24"/>
      <c r="K32" s="91"/>
      <c r="L32" s="92" t="str">
        <f>IF(OR('Step 2- Activity Inventory'!O35=6,AND('Step 2- Activity Inventory'!O35=5,E32="Genius")),'Step 1- Hrly Rate Calc'!$D$18,"")</f>
        <v/>
      </c>
      <c r="M32" s="93" t="str">
        <f t="shared" si="0"/>
        <v/>
      </c>
      <c r="N32" s="93" t="str">
        <f>IF(L32="","",IF(IFERROR((G32/60)*M32*2*'Step 1- Hrly Rate Calc'!$D$14,"")&lt;0,"N/A",IFERROR((G32/60)*M32*2*'Step 1- Hrly Rate Calc'!$D$14,"")))</f>
        <v/>
      </c>
      <c r="O32" s="77" t="str">
        <f t="shared" si="1"/>
        <v/>
      </c>
      <c r="P32" s="77" t="str">
        <f t="shared" si="2"/>
        <v/>
      </c>
    </row>
    <row r="33" spans="2:16" s="61" customFormat="1" ht="34" customHeight="1" x14ac:dyDescent="0.2">
      <c r="B33" s="77" t="str">
        <f>IF('Step 2- Activity Inventory'!B36="","",'Step 2- Activity Inventory'!B36)</f>
        <v/>
      </c>
      <c r="C33" s="77" t="str">
        <f>IF('Step 2- Activity Inventory'!C36="","",'Step 2- Activity Inventory'!C36)</f>
        <v/>
      </c>
      <c r="D33" s="88" t="str">
        <f>IF('Step 2- Activity Inventory'!E36="","",'Step 2- Activity Inventory'!E36)</f>
        <v/>
      </c>
      <c r="E33" s="88" t="str">
        <f>IF('Step 2- Activity Inventory'!F36="","",'Step 2- Activity Inventory'!F36)</f>
        <v/>
      </c>
      <c r="F33" s="88" t="str">
        <f>IF(E33="Genius","N/A",IF('Step 2- Activity Inventory'!G36="","",'Step 2- Activity Inventory'!G36))</f>
        <v/>
      </c>
      <c r="G33" s="89" t="str">
        <f>IF('Step 2- Activity Inventory'!D36="","",'Step 2- Activity Inventory'!D36)</f>
        <v/>
      </c>
      <c r="H33" s="90"/>
      <c r="I33" s="24"/>
      <c r="J33" s="24"/>
      <c r="K33" s="91"/>
      <c r="L33" s="92" t="str">
        <f>IF(OR('Step 2- Activity Inventory'!O36=6,AND('Step 2- Activity Inventory'!O36=5,E33="Genius")),'Step 1- Hrly Rate Calc'!$D$18,"")</f>
        <v/>
      </c>
      <c r="M33" s="93" t="str">
        <f t="shared" si="0"/>
        <v/>
      </c>
      <c r="N33" s="93" t="str">
        <f>IF(L33="","",IF(IFERROR((G33/60)*M33*2*'Step 1- Hrly Rate Calc'!$D$14,"")&lt;0,"N/A",IFERROR((G33/60)*M33*2*'Step 1- Hrly Rate Calc'!$D$14,"")))</f>
        <v/>
      </c>
      <c r="O33" s="77" t="str">
        <f t="shared" si="1"/>
        <v/>
      </c>
      <c r="P33" s="77" t="str">
        <f t="shared" si="2"/>
        <v/>
      </c>
    </row>
    <row r="34" spans="2:16" s="61" customFormat="1" ht="34" customHeight="1" x14ac:dyDescent="0.2">
      <c r="B34" s="77" t="str">
        <f>IF('Step 2- Activity Inventory'!B37="","",'Step 2- Activity Inventory'!B37)</f>
        <v/>
      </c>
      <c r="C34" s="77" t="str">
        <f>IF('Step 2- Activity Inventory'!C37="","",'Step 2- Activity Inventory'!C37)</f>
        <v/>
      </c>
      <c r="D34" s="88" t="str">
        <f>IF('Step 2- Activity Inventory'!E37="","",'Step 2- Activity Inventory'!E37)</f>
        <v/>
      </c>
      <c r="E34" s="88" t="str">
        <f>IF('Step 2- Activity Inventory'!F37="","",'Step 2- Activity Inventory'!F37)</f>
        <v/>
      </c>
      <c r="F34" s="88" t="str">
        <f>IF(E34="Genius","N/A",IF('Step 2- Activity Inventory'!G37="","",'Step 2- Activity Inventory'!G37))</f>
        <v/>
      </c>
      <c r="G34" s="89" t="str">
        <f>IF('Step 2- Activity Inventory'!D37="","",'Step 2- Activity Inventory'!D37)</f>
        <v/>
      </c>
      <c r="H34" s="90"/>
      <c r="I34" s="24"/>
      <c r="J34" s="24"/>
      <c r="K34" s="91"/>
      <c r="L34" s="92" t="str">
        <f>IF(OR('Step 2- Activity Inventory'!O37=6,AND('Step 2- Activity Inventory'!O37=5,E34="Genius")),'Step 1- Hrly Rate Calc'!$D$18,"")</f>
        <v/>
      </c>
      <c r="M34" s="93" t="str">
        <f t="shared" si="0"/>
        <v/>
      </c>
      <c r="N34" s="93" t="str">
        <f>IF(L34="","",IF(IFERROR((G34/60)*M34*2*'Step 1- Hrly Rate Calc'!$D$14,"")&lt;0,"N/A",IFERROR((G34/60)*M34*2*'Step 1- Hrly Rate Calc'!$D$14,"")))</f>
        <v/>
      </c>
      <c r="O34" s="77" t="str">
        <f t="shared" si="1"/>
        <v/>
      </c>
      <c r="P34" s="77" t="str">
        <f t="shared" si="2"/>
        <v/>
      </c>
    </row>
    <row r="35" spans="2:16" s="61" customFormat="1" ht="34" customHeight="1" x14ac:dyDescent="0.2">
      <c r="B35" s="77" t="str">
        <f>IF('Step 2- Activity Inventory'!B38="","",'Step 2- Activity Inventory'!B38)</f>
        <v/>
      </c>
      <c r="C35" s="77" t="str">
        <f>IF('Step 2- Activity Inventory'!C38="","",'Step 2- Activity Inventory'!C38)</f>
        <v/>
      </c>
      <c r="D35" s="88" t="str">
        <f>IF('Step 2- Activity Inventory'!E38="","",'Step 2- Activity Inventory'!E38)</f>
        <v/>
      </c>
      <c r="E35" s="88" t="str">
        <f>IF('Step 2- Activity Inventory'!F38="","",'Step 2- Activity Inventory'!F38)</f>
        <v/>
      </c>
      <c r="F35" s="88" t="str">
        <f>IF(E35="Genius","N/A",IF('Step 2- Activity Inventory'!G38="","",'Step 2- Activity Inventory'!G38))</f>
        <v/>
      </c>
      <c r="G35" s="89" t="str">
        <f>IF('Step 2- Activity Inventory'!D38="","",'Step 2- Activity Inventory'!D38)</f>
        <v/>
      </c>
      <c r="H35" s="90"/>
      <c r="I35" s="24"/>
      <c r="J35" s="24"/>
      <c r="K35" s="91"/>
      <c r="L35" s="92" t="str">
        <f>IF(OR('Step 2- Activity Inventory'!O38=6,AND('Step 2- Activity Inventory'!O38=5,E35="Genius")),'Step 1- Hrly Rate Calc'!$D$18,"")</f>
        <v/>
      </c>
      <c r="M35" s="93" t="str">
        <f t="shared" si="0"/>
        <v/>
      </c>
      <c r="N35" s="93" t="str">
        <f>IF(L35="","",IF(IFERROR((G35/60)*M35*2*'Step 1- Hrly Rate Calc'!$D$14,"")&lt;0,"N/A",IFERROR((G35/60)*M35*2*'Step 1- Hrly Rate Calc'!$D$14,"")))</f>
        <v/>
      </c>
      <c r="O35" s="77" t="str">
        <f t="shared" si="1"/>
        <v/>
      </c>
      <c r="P35" s="77" t="str">
        <f t="shared" si="2"/>
        <v/>
      </c>
    </row>
    <row r="36" spans="2:16" s="61" customFormat="1" ht="34" customHeight="1" x14ac:dyDescent="0.2">
      <c r="B36" s="77" t="str">
        <f>IF('Step 2- Activity Inventory'!B39="","",'Step 2- Activity Inventory'!B39)</f>
        <v/>
      </c>
      <c r="C36" s="77" t="str">
        <f>IF('Step 2- Activity Inventory'!C39="","",'Step 2- Activity Inventory'!C39)</f>
        <v/>
      </c>
      <c r="D36" s="88" t="str">
        <f>IF('Step 2- Activity Inventory'!E39="","",'Step 2- Activity Inventory'!E39)</f>
        <v/>
      </c>
      <c r="E36" s="88" t="str">
        <f>IF('Step 2- Activity Inventory'!F39="","",'Step 2- Activity Inventory'!F39)</f>
        <v/>
      </c>
      <c r="F36" s="88" t="str">
        <f>IF(E36="Genius","N/A",IF('Step 2- Activity Inventory'!G39="","",'Step 2- Activity Inventory'!G39))</f>
        <v/>
      </c>
      <c r="G36" s="89" t="str">
        <f>IF('Step 2- Activity Inventory'!D39="","",'Step 2- Activity Inventory'!D39)</f>
        <v/>
      </c>
      <c r="H36" s="90"/>
      <c r="I36" s="24"/>
      <c r="J36" s="24"/>
      <c r="K36" s="91"/>
      <c r="L36" s="92" t="str">
        <f>IF(OR('Step 2- Activity Inventory'!O39=6,AND('Step 2- Activity Inventory'!O39=5,E36="Genius")),'Step 1- Hrly Rate Calc'!$D$18,"")</f>
        <v/>
      </c>
      <c r="M36" s="93" t="str">
        <f t="shared" si="0"/>
        <v/>
      </c>
      <c r="N36" s="93" t="str">
        <f>IF(L36="","",IF(IFERROR((G36/60)*M36*2*'Step 1- Hrly Rate Calc'!$D$14,"")&lt;0,"N/A",IFERROR((G36/60)*M36*2*'Step 1- Hrly Rate Calc'!$D$14,"")))</f>
        <v/>
      </c>
      <c r="O36" s="77" t="str">
        <f t="shared" si="1"/>
        <v/>
      </c>
      <c r="P36" s="77" t="str">
        <f t="shared" si="2"/>
        <v/>
      </c>
    </row>
    <row r="37" spans="2:16" s="61" customFormat="1" ht="34" customHeight="1" x14ac:dyDescent="0.2">
      <c r="B37" s="77" t="str">
        <f>IF('Step 2- Activity Inventory'!B40="","",'Step 2- Activity Inventory'!B40)</f>
        <v/>
      </c>
      <c r="C37" s="77" t="str">
        <f>IF('Step 2- Activity Inventory'!C40="","",'Step 2- Activity Inventory'!C40)</f>
        <v/>
      </c>
      <c r="D37" s="88" t="str">
        <f>IF('Step 2- Activity Inventory'!E40="","",'Step 2- Activity Inventory'!E40)</f>
        <v/>
      </c>
      <c r="E37" s="88" t="str">
        <f>IF('Step 2- Activity Inventory'!F40="","",'Step 2- Activity Inventory'!F40)</f>
        <v/>
      </c>
      <c r="F37" s="88" t="str">
        <f>IF(E37="Genius","N/A",IF('Step 2- Activity Inventory'!G40="","",'Step 2- Activity Inventory'!G40))</f>
        <v/>
      </c>
      <c r="G37" s="89" t="str">
        <f>IF('Step 2- Activity Inventory'!D40="","",'Step 2- Activity Inventory'!D40)</f>
        <v/>
      </c>
      <c r="H37" s="90"/>
      <c r="I37" s="24"/>
      <c r="J37" s="24"/>
      <c r="K37" s="91"/>
      <c r="L37" s="92" t="str">
        <f>IF(OR('Step 2- Activity Inventory'!O40=6,AND('Step 2- Activity Inventory'!O40=5,E37="Genius")),'Step 1- Hrly Rate Calc'!$D$18,"")</f>
        <v/>
      </c>
      <c r="M37" s="93" t="str">
        <f t="shared" si="0"/>
        <v/>
      </c>
      <c r="N37" s="93" t="str">
        <f>IF(L37="","",IF(IFERROR((G37/60)*M37*2*'Step 1- Hrly Rate Calc'!$D$14,"")&lt;0,"N/A",IFERROR((G37/60)*M37*2*'Step 1- Hrly Rate Calc'!$D$14,"")))</f>
        <v/>
      </c>
      <c r="O37" s="77" t="str">
        <f t="shared" si="1"/>
        <v/>
      </c>
      <c r="P37" s="77" t="str">
        <f t="shared" si="2"/>
        <v/>
      </c>
    </row>
    <row r="38" spans="2:16" s="61" customFormat="1" ht="34" customHeight="1" x14ac:dyDescent="0.2">
      <c r="B38" s="77" t="str">
        <f>IF('Step 2- Activity Inventory'!B41="","",'Step 2- Activity Inventory'!B41)</f>
        <v/>
      </c>
      <c r="C38" s="77" t="str">
        <f>IF('Step 2- Activity Inventory'!C41="","",'Step 2- Activity Inventory'!C41)</f>
        <v/>
      </c>
      <c r="D38" s="88" t="str">
        <f>IF('Step 2- Activity Inventory'!E41="","",'Step 2- Activity Inventory'!E41)</f>
        <v/>
      </c>
      <c r="E38" s="88" t="str">
        <f>IF('Step 2- Activity Inventory'!F41="","",'Step 2- Activity Inventory'!F41)</f>
        <v/>
      </c>
      <c r="F38" s="88" t="str">
        <f>IF(E38="Genius","N/A",IF('Step 2- Activity Inventory'!G41="","",'Step 2- Activity Inventory'!G41))</f>
        <v/>
      </c>
      <c r="G38" s="89" t="str">
        <f>IF('Step 2- Activity Inventory'!D41="","",'Step 2- Activity Inventory'!D41)</f>
        <v/>
      </c>
      <c r="H38" s="90"/>
      <c r="I38" s="24"/>
      <c r="J38" s="24"/>
      <c r="K38" s="91"/>
      <c r="L38" s="92" t="str">
        <f>IF(OR('Step 2- Activity Inventory'!O41=6,AND('Step 2- Activity Inventory'!O41=5,E38="Genius")),'Step 1- Hrly Rate Calc'!$D$18,"")</f>
        <v/>
      </c>
      <c r="M38" s="93" t="str">
        <f t="shared" si="0"/>
        <v/>
      </c>
      <c r="N38" s="93" t="str">
        <f>IF(L38="","",IF(IFERROR((G38/60)*M38*2*'Step 1- Hrly Rate Calc'!$D$14,"")&lt;0,"N/A",IFERROR((G38/60)*M38*2*'Step 1- Hrly Rate Calc'!$D$14,"")))</f>
        <v/>
      </c>
      <c r="O38" s="77" t="str">
        <f t="shared" si="1"/>
        <v/>
      </c>
      <c r="P38" s="77" t="str">
        <f t="shared" si="2"/>
        <v/>
      </c>
    </row>
    <row r="39" spans="2:16" s="61" customFormat="1" ht="34" customHeight="1" x14ac:dyDescent="0.2">
      <c r="B39" s="77" t="str">
        <f>IF('Step 2- Activity Inventory'!B42="","",'Step 2- Activity Inventory'!B42)</f>
        <v/>
      </c>
      <c r="C39" s="77" t="str">
        <f>IF('Step 2- Activity Inventory'!C42="","",'Step 2- Activity Inventory'!C42)</f>
        <v/>
      </c>
      <c r="D39" s="88" t="str">
        <f>IF('Step 2- Activity Inventory'!E42="","",'Step 2- Activity Inventory'!E42)</f>
        <v/>
      </c>
      <c r="E39" s="88" t="str">
        <f>IF('Step 2- Activity Inventory'!F42="","",'Step 2- Activity Inventory'!F42)</f>
        <v/>
      </c>
      <c r="F39" s="88" t="str">
        <f>IF(E39="Genius","N/A",IF('Step 2- Activity Inventory'!G42="","",'Step 2- Activity Inventory'!G42))</f>
        <v/>
      </c>
      <c r="G39" s="89" t="str">
        <f>IF('Step 2- Activity Inventory'!D42="","",'Step 2- Activity Inventory'!D42)</f>
        <v/>
      </c>
      <c r="H39" s="90"/>
      <c r="I39" s="24"/>
      <c r="J39" s="24"/>
      <c r="K39" s="91"/>
      <c r="L39" s="92" t="str">
        <f>IF(OR('Step 2- Activity Inventory'!O42=6,AND('Step 2- Activity Inventory'!O42=5,E39="Genius")),'Step 1- Hrly Rate Calc'!$D$18,"")</f>
        <v/>
      </c>
      <c r="M39" s="93" t="str">
        <f t="shared" si="0"/>
        <v/>
      </c>
      <c r="N39" s="93" t="str">
        <f>IF(L39="","",IF(IFERROR((G39/60)*M39*2*'Step 1- Hrly Rate Calc'!$D$14,"")&lt;0,"N/A",IFERROR((G39/60)*M39*2*'Step 1- Hrly Rate Calc'!$D$14,"")))</f>
        <v/>
      </c>
      <c r="O39" s="77" t="str">
        <f t="shared" si="1"/>
        <v/>
      </c>
      <c r="P39" s="77" t="str">
        <f t="shared" si="2"/>
        <v/>
      </c>
    </row>
    <row r="40" spans="2:16" s="61" customFormat="1" ht="34" customHeight="1" x14ac:dyDescent="0.2">
      <c r="B40" s="77" t="str">
        <f>IF('Step 2- Activity Inventory'!B43="","",'Step 2- Activity Inventory'!B43)</f>
        <v/>
      </c>
      <c r="C40" s="77" t="str">
        <f>IF('Step 2- Activity Inventory'!C43="","",'Step 2- Activity Inventory'!C43)</f>
        <v/>
      </c>
      <c r="D40" s="88" t="str">
        <f>IF('Step 2- Activity Inventory'!E43="","",'Step 2- Activity Inventory'!E43)</f>
        <v/>
      </c>
      <c r="E40" s="88" t="str">
        <f>IF('Step 2- Activity Inventory'!F43="","",'Step 2- Activity Inventory'!F43)</f>
        <v/>
      </c>
      <c r="F40" s="88" t="str">
        <f>IF(E40="Genius","N/A",IF('Step 2- Activity Inventory'!G43="","",'Step 2- Activity Inventory'!G43))</f>
        <v/>
      </c>
      <c r="G40" s="89" t="str">
        <f>IF('Step 2- Activity Inventory'!D43="","",'Step 2- Activity Inventory'!D43)</f>
        <v/>
      </c>
      <c r="H40" s="90"/>
      <c r="I40" s="24"/>
      <c r="J40" s="24"/>
      <c r="K40" s="91"/>
      <c r="L40" s="92" t="str">
        <f>IF(OR('Step 2- Activity Inventory'!O43=6,AND('Step 2- Activity Inventory'!O43=5,E40="Genius")),'Step 1- Hrly Rate Calc'!$D$18,"")</f>
        <v/>
      </c>
      <c r="M40" s="93" t="str">
        <f t="shared" si="0"/>
        <v/>
      </c>
      <c r="N40" s="93" t="str">
        <f>IF(L40="","",IF(IFERROR((G40/60)*M40*2*'Step 1- Hrly Rate Calc'!$D$14,"")&lt;0,"N/A",IFERROR((G40/60)*M40*2*'Step 1- Hrly Rate Calc'!$D$14,"")))</f>
        <v/>
      </c>
      <c r="O40" s="77" t="str">
        <f t="shared" si="1"/>
        <v/>
      </c>
      <c r="P40" s="77" t="str">
        <f t="shared" si="2"/>
        <v/>
      </c>
    </row>
    <row r="41" spans="2:16" s="61" customFormat="1" ht="34" customHeight="1" x14ac:dyDescent="0.2">
      <c r="B41" s="77" t="str">
        <f>IF('Step 2- Activity Inventory'!B44="","",'Step 2- Activity Inventory'!B44)</f>
        <v/>
      </c>
      <c r="C41" s="77" t="str">
        <f>IF('Step 2- Activity Inventory'!C44="","",'Step 2- Activity Inventory'!C44)</f>
        <v/>
      </c>
      <c r="D41" s="88" t="str">
        <f>IF('Step 2- Activity Inventory'!E44="","",'Step 2- Activity Inventory'!E44)</f>
        <v/>
      </c>
      <c r="E41" s="88" t="str">
        <f>IF('Step 2- Activity Inventory'!F44="","",'Step 2- Activity Inventory'!F44)</f>
        <v/>
      </c>
      <c r="F41" s="88" t="str">
        <f>IF(E41="Genius","N/A",IF('Step 2- Activity Inventory'!G44="","",'Step 2- Activity Inventory'!G44))</f>
        <v/>
      </c>
      <c r="G41" s="89" t="str">
        <f>IF('Step 2- Activity Inventory'!D44="","",'Step 2- Activity Inventory'!D44)</f>
        <v/>
      </c>
      <c r="H41" s="90"/>
      <c r="I41" s="24"/>
      <c r="J41" s="24"/>
      <c r="K41" s="91"/>
      <c r="L41" s="92" t="str">
        <f>IF(OR('Step 2- Activity Inventory'!O44=6,AND('Step 2- Activity Inventory'!O44=5,E41="Genius")),'Step 1- Hrly Rate Calc'!$D$18,"")</f>
        <v/>
      </c>
      <c r="M41" s="93" t="str">
        <f t="shared" si="0"/>
        <v/>
      </c>
      <c r="N41" s="93" t="str">
        <f>IF(L41="","",IF(IFERROR((G41/60)*M41*2*'Step 1- Hrly Rate Calc'!$D$14,"")&lt;0,"N/A",IFERROR((G41/60)*M41*2*'Step 1- Hrly Rate Calc'!$D$14,"")))</f>
        <v/>
      </c>
      <c r="O41" s="77" t="str">
        <f t="shared" si="1"/>
        <v/>
      </c>
      <c r="P41" s="77" t="str">
        <f t="shared" si="2"/>
        <v/>
      </c>
    </row>
    <row r="42" spans="2:16" s="61" customFormat="1" ht="34" customHeight="1" x14ac:dyDescent="0.2">
      <c r="B42" s="77" t="str">
        <f>IF('Step 2- Activity Inventory'!B45="","",'Step 2- Activity Inventory'!B45)</f>
        <v/>
      </c>
      <c r="C42" s="77" t="str">
        <f>IF('Step 2- Activity Inventory'!C45="","",'Step 2- Activity Inventory'!C45)</f>
        <v/>
      </c>
      <c r="D42" s="88" t="str">
        <f>IF('Step 2- Activity Inventory'!E45="","",'Step 2- Activity Inventory'!E45)</f>
        <v/>
      </c>
      <c r="E42" s="88" t="str">
        <f>IF('Step 2- Activity Inventory'!F45="","",'Step 2- Activity Inventory'!F45)</f>
        <v/>
      </c>
      <c r="F42" s="88" t="str">
        <f>IF(E42="Genius","N/A",IF('Step 2- Activity Inventory'!G45="","",'Step 2- Activity Inventory'!G45))</f>
        <v/>
      </c>
      <c r="G42" s="89" t="str">
        <f>IF('Step 2- Activity Inventory'!D45="","",'Step 2- Activity Inventory'!D45)</f>
        <v/>
      </c>
      <c r="H42" s="90"/>
      <c r="I42" s="24"/>
      <c r="J42" s="24"/>
      <c r="K42" s="91"/>
      <c r="L42" s="92" t="str">
        <f>IF(OR('Step 2- Activity Inventory'!O45=6,AND('Step 2- Activity Inventory'!O45=5,E42="Genius")),'Step 1- Hrly Rate Calc'!$D$18,"")</f>
        <v/>
      </c>
      <c r="M42" s="93" t="str">
        <f t="shared" si="0"/>
        <v/>
      </c>
      <c r="N42" s="93" t="str">
        <f>IF(L42="","",IF(IFERROR((G42/60)*M42*2*'Step 1- Hrly Rate Calc'!$D$14,"")&lt;0,"N/A",IFERROR((G42/60)*M42*2*'Step 1- Hrly Rate Calc'!$D$14,"")))</f>
        <v/>
      </c>
      <c r="O42" s="77" t="str">
        <f t="shared" si="1"/>
        <v/>
      </c>
      <c r="P42" s="77" t="str">
        <f t="shared" si="2"/>
        <v/>
      </c>
    </row>
    <row r="43" spans="2:16" s="61" customFormat="1" ht="34" customHeight="1" x14ac:dyDescent="0.2">
      <c r="B43" s="77" t="str">
        <f>IF('Step 2- Activity Inventory'!B46="","",'Step 2- Activity Inventory'!B46)</f>
        <v/>
      </c>
      <c r="C43" s="77" t="str">
        <f>IF('Step 2- Activity Inventory'!C46="","",'Step 2- Activity Inventory'!C46)</f>
        <v/>
      </c>
      <c r="D43" s="88" t="str">
        <f>IF('Step 2- Activity Inventory'!E46="","",'Step 2- Activity Inventory'!E46)</f>
        <v/>
      </c>
      <c r="E43" s="88" t="str">
        <f>IF('Step 2- Activity Inventory'!F46="","",'Step 2- Activity Inventory'!F46)</f>
        <v/>
      </c>
      <c r="F43" s="88" t="str">
        <f>IF(E43="Genius","N/A",IF('Step 2- Activity Inventory'!G46="","",'Step 2- Activity Inventory'!G46))</f>
        <v/>
      </c>
      <c r="G43" s="89" t="str">
        <f>IF('Step 2- Activity Inventory'!D46="","",'Step 2- Activity Inventory'!D46)</f>
        <v/>
      </c>
      <c r="H43" s="90"/>
      <c r="I43" s="24"/>
      <c r="J43" s="24"/>
      <c r="K43" s="91"/>
      <c r="L43" s="92" t="str">
        <f>IF(OR('Step 2- Activity Inventory'!O46=6,AND('Step 2- Activity Inventory'!O46=5,E43="Genius")),'Step 1- Hrly Rate Calc'!$D$18,"")</f>
        <v/>
      </c>
      <c r="M43" s="93" t="str">
        <f t="shared" si="0"/>
        <v/>
      </c>
      <c r="N43" s="93" t="str">
        <f>IF(L43="","",IF(IFERROR((G43/60)*M43*2*'Step 1- Hrly Rate Calc'!$D$14,"")&lt;0,"N/A",IFERROR((G43/60)*M43*2*'Step 1- Hrly Rate Calc'!$D$14,"")))</f>
        <v/>
      </c>
      <c r="O43" s="77" t="str">
        <f t="shared" si="1"/>
        <v/>
      </c>
      <c r="P43" s="77" t="str">
        <f t="shared" si="2"/>
        <v/>
      </c>
    </row>
    <row r="44" spans="2:16" s="61" customFormat="1" ht="34" customHeight="1" x14ac:dyDescent="0.2">
      <c r="B44" s="77" t="str">
        <f>IF('Step 2- Activity Inventory'!B47="","",'Step 2- Activity Inventory'!B47)</f>
        <v/>
      </c>
      <c r="C44" s="77" t="str">
        <f>IF('Step 2- Activity Inventory'!C47="","",'Step 2- Activity Inventory'!C47)</f>
        <v/>
      </c>
      <c r="D44" s="88" t="str">
        <f>IF('Step 2- Activity Inventory'!E47="","",'Step 2- Activity Inventory'!E47)</f>
        <v/>
      </c>
      <c r="E44" s="88" t="str">
        <f>IF('Step 2- Activity Inventory'!F47="","",'Step 2- Activity Inventory'!F47)</f>
        <v/>
      </c>
      <c r="F44" s="88" t="str">
        <f>IF(E44="Genius","N/A",IF('Step 2- Activity Inventory'!G47="","",'Step 2- Activity Inventory'!G47))</f>
        <v/>
      </c>
      <c r="G44" s="89" t="str">
        <f>IF('Step 2- Activity Inventory'!D47="","",'Step 2- Activity Inventory'!D47)</f>
        <v/>
      </c>
      <c r="H44" s="90"/>
      <c r="I44" s="24"/>
      <c r="J44" s="24"/>
      <c r="K44" s="91"/>
      <c r="L44" s="92" t="str">
        <f>IF(OR('Step 2- Activity Inventory'!O47=6,AND('Step 2- Activity Inventory'!O47=5,E44="Genius")),'Step 1- Hrly Rate Calc'!$D$18,"")</f>
        <v/>
      </c>
      <c r="M44" s="93" t="str">
        <f t="shared" si="0"/>
        <v/>
      </c>
      <c r="N44" s="93" t="str">
        <f>IF(L44="","",IF(IFERROR((G44/60)*M44*2*'Step 1- Hrly Rate Calc'!$D$14,"")&lt;0,"N/A",IFERROR((G44/60)*M44*2*'Step 1- Hrly Rate Calc'!$D$14,"")))</f>
        <v/>
      </c>
      <c r="O44" s="77" t="str">
        <f t="shared" si="1"/>
        <v/>
      </c>
      <c r="P44" s="77" t="str">
        <f t="shared" si="2"/>
        <v/>
      </c>
    </row>
    <row r="45" spans="2:16" s="61" customFormat="1" ht="34" customHeight="1" x14ac:dyDescent="0.2">
      <c r="B45" s="77" t="str">
        <f>IF('Step 2- Activity Inventory'!B48="","",'Step 2- Activity Inventory'!B48)</f>
        <v/>
      </c>
      <c r="C45" s="77" t="str">
        <f>IF('Step 2- Activity Inventory'!C48="","",'Step 2- Activity Inventory'!C48)</f>
        <v/>
      </c>
      <c r="D45" s="88" t="str">
        <f>IF('Step 2- Activity Inventory'!E48="","",'Step 2- Activity Inventory'!E48)</f>
        <v/>
      </c>
      <c r="E45" s="88" t="str">
        <f>IF('Step 2- Activity Inventory'!F48="","",'Step 2- Activity Inventory'!F48)</f>
        <v/>
      </c>
      <c r="F45" s="88" t="str">
        <f>IF(E45="Genius","N/A",IF('Step 2- Activity Inventory'!G48="","",'Step 2- Activity Inventory'!G48))</f>
        <v/>
      </c>
      <c r="G45" s="89" t="str">
        <f>IF('Step 2- Activity Inventory'!D48="","",'Step 2- Activity Inventory'!D48)</f>
        <v/>
      </c>
      <c r="H45" s="90"/>
      <c r="I45" s="24"/>
      <c r="J45" s="24"/>
      <c r="K45" s="91"/>
      <c r="L45" s="92" t="str">
        <f>IF(OR('Step 2- Activity Inventory'!O48=6,AND('Step 2- Activity Inventory'!O48=5,E45="Genius")),'Step 1- Hrly Rate Calc'!$D$18,"")</f>
        <v/>
      </c>
      <c r="M45" s="93" t="str">
        <f t="shared" si="0"/>
        <v/>
      </c>
      <c r="N45" s="93" t="str">
        <f>IF(L45="","",IF(IFERROR((G45/60)*M45*2*'Step 1- Hrly Rate Calc'!$D$14,"")&lt;0,"N/A",IFERROR((G45/60)*M45*2*'Step 1- Hrly Rate Calc'!$D$14,"")))</f>
        <v/>
      </c>
      <c r="O45" s="77" t="str">
        <f t="shared" si="1"/>
        <v/>
      </c>
      <c r="P45" s="77" t="str">
        <f t="shared" si="2"/>
        <v/>
      </c>
    </row>
    <row r="46" spans="2:16" s="61" customFormat="1" ht="34" customHeight="1" x14ac:dyDescent="0.2">
      <c r="B46" s="77" t="str">
        <f>IF('Step 2- Activity Inventory'!B49="","",'Step 2- Activity Inventory'!B49)</f>
        <v/>
      </c>
      <c r="C46" s="77" t="str">
        <f>IF('Step 2- Activity Inventory'!C49="","",'Step 2- Activity Inventory'!C49)</f>
        <v/>
      </c>
      <c r="D46" s="88" t="str">
        <f>IF('Step 2- Activity Inventory'!E49="","",'Step 2- Activity Inventory'!E49)</f>
        <v/>
      </c>
      <c r="E46" s="88" t="str">
        <f>IF('Step 2- Activity Inventory'!F49="","",'Step 2- Activity Inventory'!F49)</f>
        <v/>
      </c>
      <c r="F46" s="88" t="str">
        <f>IF(E46="Genius","N/A",IF('Step 2- Activity Inventory'!G49="","",'Step 2- Activity Inventory'!G49))</f>
        <v/>
      </c>
      <c r="G46" s="89" t="str">
        <f>IF('Step 2- Activity Inventory'!D49="","",'Step 2- Activity Inventory'!D49)</f>
        <v/>
      </c>
      <c r="H46" s="90"/>
      <c r="I46" s="24"/>
      <c r="J46" s="24"/>
      <c r="K46" s="91"/>
      <c r="L46" s="92" t="str">
        <f>IF(OR('Step 2- Activity Inventory'!O49=6,AND('Step 2- Activity Inventory'!O49=5,E46="Genius")),'Step 1- Hrly Rate Calc'!$D$18,"")</f>
        <v/>
      </c>
      <c r="M46" s="93" t="str">
        <f t="shared" si="0"/>
        <v/>
      </c>
      <c r="N46" s="93" t="str">
        <f>IF(L46="","",IF(IFERROR((G46/60)*M46*2*'Step 1- Hrly Rate Calc'!$D$14,"")&lt;0,"N/A",IFERROR((G46/60)*M46*2*'Step 1- Hrly Rate Calc'!$D$14,"")))</f>
        <v/>
      </c>
      <c r="O46" s="77" t="str">
        <f t="shared" si="1"/>
        <v/>
      </c>
      <c r="P46" s="77" t="str">
        <f t="shared" si="2"/>
        <v/>
      </c>
    </row>
    <row r="47" spans="2:16" s="61" customFormat="1" ht="34" customHeight="1" x14ac:dyDescent="0.2">
      <c r="B47" s="77" t="str">
        <f>IF('Step 2- Activity Inventory'!B50="","",'Step 2- Activity Inventory'!B50)</f>
        <v/>
      </c>
      <c r="C47" s="77" t="str">
        <f>IF('Step 2- Activity Inventory'!C50="","",'Step 2- Activity Inventory'!C50)</f>
        <v/>
      </c>
      <c r="D47" s="88" t="str">
        <f>IF('Step 2- Activity Inventory'!E50="","",'Step 2- Activity Inventory'!E50)</f>
        <v/>
      </c>
      <c r="E47" s="88" t="str">
        <f>IF('Step 2- Activity Inventory'!F50="","",'Step 2- Activity Inventory'!F50)</f>
        <v/>
      </c>
      <c r="F47" s="88" t="str">
        <f>IF(E47="Genius","N/A",IF('Step 2- Activity Inventory'!G50="","",'Step 2- Activity Inventory'!G50))</f>
        <v/>
      </c>
      <c r="G47" s="89" t="str">
        <f>IF('Step 2- Activity Inventory'!D50="","",'Step 2- Activity Inventory'!D50)</f>
        <v/>
      </c>
      <c r="H47" s="90"/>
      <c r="I47" s="24"/>
      <c r="J47" s="24"/>
      <c r="K47" s="91"/>
      <c r="L47" s="92" t="str">
        <f>IF(OR('Step 2- Activity Inventory'!O50=6,AND('Step 2- Activity Inventory'!O50=5,E47="Genius")),'Step 1- Hrly Rate Calc'!$D$18,"")</f>
        <v/>
      </c>
      <c r="M47" s="93" t="str">
        <f t="shared" si="0"/>
        <v/>
      </c>
      <c r="N47" s="93" t="str">
        <f>IF(L47="","",IF(IFERROR((G47/60)*M47*2*'Step 1- Hrly Rate Calc'!$D$14,"")&lt;0,"N/A",IFERROR((G47/60)*M47*2*'Step 1- Hrly Rate Calc'!$D$14,"")))</f>
        <v/>
      </c>
      <c r="O47" s="77" t="str">
        <f t="shared" si="1"/>
        <v/>
      </c>
      <c r="P47" s="77" t="str">
        <f t="shared" si="2"/>
        <v/>
      </c>
    </row>
    <row r="48" spans="2:16" s="61" customFormat="1" ht="34" customHeight="1" x14ac:dyDescent="0.2">
      <c r="B48" s="77" t="str">
        <f>IF('Step 2- Activity Inventory'!B51="","",'Step 2- Activity Inventory'!B51)</f>
        <v/>
      </c>
      <c r="C48" s="77" t="str">
        <f>IF('Step 2- Activity Inventory'!C51="","",'Step 2- Activity Inventory'!C51)</f>
        <v/>
      </c>
      <c r="D48" s="88" t="str">
        <f>IF('Step 2- Activity Inventory'!E51="","",'Step 2- Activity Inventory'!E51)</f>
        <v/>
      </c>
      <c r="E48" s="88" t="str">
        <f>IF('Step 2- Activity Inventory'!F51="","",'Step 2- Activity Inventory'!F51)</f>
        <v/>
      </c>
      <c r="F48" s="88" t="str">
        <f>IF(E48="Genius","N/A",IF('Step 2- Activity Inventory'!G51="","",'Step 2- Activity Inventory'!G51))</f>
        <v/>
      </c>
      <c r="G48" s="89" t="str">
        <f>IF('Step 2- Activity Inventory'!D51="","",'Step 2- Activity Inventory'!D51)</f>
        <v/>
      </c>
      <c r="H48" s="90"/>
      <c r="I48" s="24"/>
      <c r="J48" s="24"/>
      <c r="K48" s="91"/>
      <c r="L48" s="92" t="str">
        <f>IF(OR('Step 2- Activity Inventory'!O51=6,AND('Step 2- Activity Inventory'!O51=5,E48="Genius")),'Step 1- Hrly Rate Calc'!$D$18,"")</f>
        <v/>
      </c>
      <c r="M48" s="93" t="str">
        <f t="shared" si="0"/>
        <v/>
      </c>
      <c r="N48" s="93" t="str">
        <f>IF(L48="","",IF(IFERROR((G48/60)*M48*2*'Step 1- Hrly Rate Calc'!$D$14,"")&lt;0,"N/A",IFERROR((G48/60)*M48*2*'Step 1- Hrly Rate Calc'!$D$14,"")))</f>
        <v/>
      </c>
      <c r="O48" s="77" t="str">
        <f t="shared" si="1"/>
        <v/>
      </c>
      <c r="P48" s="77" t="str">
        <f t="shared" si="2"/>
        <v/>
      </c>
    </row>
    <row r="49" spans="2:16" s="61" customFormat="1" ht="34" customHeight="1" x14ac:dyDescent="0.2">
      <c r="B49" s="77" t="str">
        <f>IF('Step 2- Activity Inventory'!B52="","",'Step 2- Activity Inventory'!B52)</f>
        <v/>
      </c>
      <c r="C49" s="77" t="str">
        <f>IF('Step 2- Activity Inventory'!C52="","",'Step 2- Activity Inventory'!C52)</f>
        <v/>
      </c>
      <c r="D49" s="88" t="str">
        <f>IF('Step 2- Activity Inventory'!E52="","",'Step 2- Activity Inventory'!E52)</f>
        <v/>
      </c>
      <c r="E49" s="88" t="str">
        <f>IF('Step 2- Activity Inventory'!F52="","",'Step 2- Activity Inventory'!F52)</f>
        <v/>
      </c>
      <c r="F49" s="88" t="str">
        <f>IF(E49="Genius","N/A",IF('Step 2- Activity Inventory'!G52="","",'Step 2- Activity Inventory'!G52))</f>
        <v/>
      </c>
      <c r="G49" s="89" t="str">
        <f>IF('Step 2- Activity Inventory'!D52="","",'Step 2- Activity Inventory'!D52)</f>
        <v/>
      </c>
      <c r="H49" s="90"/>
      <c r="I49" s="24"/>
      <c r="J49" s="24"/>
      <c r="K49" s="91"/>
      <c r="L49" s="92" t="str">
        <f>IF(OR('Step 2- Activity Inventory'!O52=6,AND('Step 2- Activity Inventory'!O52=5,E49="Genius")),'Step 1- Hrly Rate Calc'!$D$18,"")</f>
        <v/>
      </c>
      <c r="M49" s="93" t="str">
        <f t="shared" si="0"/>
        <v/>
      </c>
      <c r="N49" s="93" t="str">
        <f>IF(L49="","",IF(IFERROR((G49/60)*M49*2*'Step 1- Hrly Rate Calc'!$D$14,"")&lt;0,"N/A",IFERROR((G49/60)*M49*2*'Step 1- Hrly Rate Calc'!$D$14,"")))</f>
        <v/>
      </c>
      <c r="O49" s="77" t="str">
        <f t="shared" si="1"/>
        <v/>
      </c>
      <c r="P49" s="77" t="str">
        <f t="shared" si="2"/>
        <v/>
      </c>
    </row>
    <row r="50" spans="2:16" s="61" customFormat="1" ht="34" customHeight="1" x14ac:dyDescent="0.2">
      <c r="B50" s="77" t="str">
        <f>IF('Step 2- Activity Inventory'!B53="","",'Step 2- Activity Inventory'!B53)</f>
        <v/>
      </c>
      <c r="C50" s="77" t="str">
        <f>IF('Step 2- Activity Inventory'!C53="","",'Step 2- Activity Inventory'!C53)</f>
        <v/>
      </c>
      <c r="D50" s="88" t="str">
        <f>IF('Step 2- Activity Inventory'!E53="","",'Step 2- Activity Inventory'!E53)</f>
        <v/>
      </c>
      <c r="E50" s="88" t="str">
        <f>IF('Step 2- Activity Inventory'!F53="","",'Step 2- Activity Inventory'!F53)</f>
        <v/>
      </c>
      <c r="F50" s="88" t="str">
        <f>IF(E50="Genius","N/A",IF('Step 2- Activity Inventory'!G53="","",'Step 2- Activity Inventory'!G53))</f>
        <v/>
      </c>
      <c r="G50" s="89" t="str">
        <f>IF('Step 2- Activity Inventory'!D53="","",'Step 2- Activity Inventory'!D53)</f>
        <v/>
      </c>
      <c r="H50" s="90"/>
      <c r="I50" s="24"/>
      <c r="J50" s="24"/>
      <c r="K50" s="91"/>
      <c r="L50" s="92" t="str">
        <f>IF(OR('Step 2- Activity Inventory'!O53=6,AND('Step 2- Activity Inventory'!O53=5,E50="Genius")),'Step 1- Hrly Rate Calc'!$D$18,"")</f>
        <v/>
      </c>
      <c r="M50" s="93" t="str">
        <f t="shared" si="0"/>
        <v/>
      </c>
      <c r="N50" s="93" t="str">
        <f>IF(L50="","",IF(IFERROR((G50/60)*M50*2*'Step 1- Hrly Rate Calc'!$D$14,"")&lt;0,"N/A",IFERROR((G50/60)*M50*2*'Step 1- Hrly Rate Calc'!$D$14,"")))</f>
        <v/>
      </c>
      <c r="O50" s="77" t="str">
        <f t="shared" si="1"/>
        <v/>
      </c>
      <c r="P50" s="77" t="str">
        <f t="shared" si="2"/>
        <v/>
      </c>
    </row>
    <row r="51" spans="2:16" s="61" customFormat="1" ht="34" customHeight="1" x14ac:dyDescent="0.2">
      <c r="B51" s="77" t="str">
        <f>IF('Step 2- Activity Inventory'!B54="","",'Step 2- Activity Inventory'!B54)</f>
        <v/>
      </c>
      <c r="C51" s="77" t="str">
        <f>IF('Step 2- Activity Inventory'!C54="","",'Step 2- Activity Inventory'!C54)</f>
        <v/>
      </c>
      <c r="D51" s="88" t="str">
        <f>IF('Step 2- Activity Inventory'!E54="","",'Step 2- Activity Inventory'!E54)</f>
        <v/>
      </c>
      <c r="E51" s="88" t="str">
        <f>IF('Step 2- Activity Inventory'!F54="","",'Step 2- Activity Inventory'!F54)</f>
        <v/>
      </c>
      <c r="F51" s="88" t="str">
        <f>IF(E51="Genius","N/A",IF('Step 2- Activity Inventory'!G54="","",'Step 2- Activity Inventory'!G54))</f>
        <v/>
      </c>
      <c r="G51" s="89" t="str">
        <f>IF('Step 2- Activity Inventory'!D54="","",'Step 2- Activity Inventory'!D54)</f>
        <v/>
      </c>
      <c r="H51" s="90"/>
      <c r="I51" s="24"/>
      <c r="J51" s="24"/>
      <c r="K51" s="91"/>
      <c r="L51" s="92" t="str">
        <f>IF(OR('Step 2- Activity Inventory'!O54=6,AND('Step 2- Activity Inventory'!O54=5,E51="Genius")),'Step 1- Hrly Rate Calc'!$D$18,"")</f>
        <v/>
      </c>
      <c r="M51" s="93" t="str">
        <f t="shared" si="0"/>
        <v/>
      </c>
      <c r="N51" s="93" t="str">
        <f>IF(L51="","",IF(IFERROR((G51/60)*M51*2*'Step 1- Hrly Rate Calc'!$D$14,"")&lt;0,"N/A",IFERROR((G51/60)*M51*2*'Step 1- Hrly Rate Calc'!$D$14,"")))</f>
        <v/>
      </c>
      <c r="O51" s="77" t="str">
        <f t="shared" si="1"/>
        <v/>
      </c>
      <c r="P51" s="77" t="str">
        <f t="shared" si="2"/>
        <v/>
      </c>
    </row>
    <row r="52" spans="2:16" s="61" customFormat="1" ht="34" customHeight="1" x14ac:dyDescent="0.2">
      <c r="B52" s="77" t="str">
        <f>IF('Step 2- Activity Inventory'!B55="","",'Step 2- Activity Inventory'!B55)</f>
        <v/>
      </c>
      <c r="C52" s="77" t="str">
        <f>IF('Step 2- Activity Inventory'!C55="","",'Step 2- Activity Inventory'!C55)</f>
        <v/>
      </c>
      <c r="D52" s="88" t="str">
        <f>IF('Step 2- Activity Inventory'!E55="","",'Step 2- Activity Inventory'!E55)</f>
        <v/>
      </c>
      <c r="E52" s="88" t="str">
        <f>IF('Step 2- Activity Inventory'!F55="","",'Step 2- Activity Inventory'!F55)</f>
        <v/>
      </c>
      <c r="F52" s="88" t="str">
        <f>IF(E52="Genius","N/A",IF('Step 2- Activity Inventory'!G55="","",'Step 2- Activity Inventory'!G55))</f>
        <v/>
      </c>
      <c r="G52" s="89" t="str">
        <f>IF('Step 2- Activity Inventory'!D55="","",'Step 2- Activity Inventory'!D55)</f>
        <v/>
      </c>
      <c r="H52" s="90"/>
      <c r="I52" s="24"/>
      <c r="J52" s="24"/>
      <c r="K52" s="91"/>
      <c r="L52" s="92" t="str">
        <f>IF(OR('Step 2- Activity Inventory'!O55=6,AND('Step 2- Activity Inventory'!O55=5,E52="Genius")),'Step 1- Hrly Rate Calc'!$D$18,"")</f>
        <v/>
      </c>
      <c r="M52" s="93" t="str">
        <f t="shared" si="0"/>
        <v/>
      </c>
      <c r="N52" s="93" t="str">
        <f>IF(L52="","",IF(IFERROR((G52/60)*M52*2*'Step 1- Hrly Rate Calc'!$D$14,"")&lt;0,"N/A",IFERROR((G52/60)*M52*2*'Step 1- Hrly Rate Calc'!$D$14,"")))</f>
        <v/>
      </c>
      <c r="O52" s="77" t="str">
        <f t="shared" si="1"/>
        <v/>
      </c>
      <c r="P52" s="77" t="str">
        <f t="shared" si="2"/>
        <v/>
      </c>
    </row>
    <row r="53" spans="2:16" s="61" customFormat="1" ht="34" customHeight="1" x14ac:dyDescent="0.2">
      <c r="B53" s="77" t="str">
        <f>IF('Step 2- Activity Inventory'!B56="","",'Step 2- Activity Inventory'!B56)</f>
        <v/>
      </c>
      <c r="C53" s="77" t="str">
        <f>IF('Step 2- Activity Inventory'!C56="","",'Step 2- Activity Inventory'!C56)</f>
        <v/>
      </c>
      <c r="D53" s="88" t="str">
        <f>IF('Step 2- Activity Inventory'!E56="","",'Step 2- Activity Inventory'!E56)</f>
        <v/>
      </c>
      <c r="E53" s="88" t="str">
        <f>IF('Step 2- Activity Inventory'!F56="","",'Step 2- Activity Inventory'!F56)</f>
        <v/>
      </c>
      <c r="F53" s="88" t="str">
        <f>IF(E53="Genius","N/A",IF('Step 2- Activity Inventory'!G56="","",'Step 2- Activity Inventory'!G56))</f>
        <v/>
      </c>
      <c r="G53" s="89" t="str">
        <f>IF('Step 2- Activity Inventory'!D56="","",'Step 2- Activity Inventory'!D56)</f>
        <v/>
      </c>
      <c r="H53" s="90"/>
      <c r="I53" s="24"/>
      <c r="J53" s="24"/>
      <c r="K53" s="91"/>
      <c r="L53" s="92" t="str">
        <f>IF(OR('Step 2- Activity Inventory'!O56=6,AND('Step 2- Activity Inventory'!O56=5,E53="Genius")),'Step 1- Hrly Rate Calc'!$D$18,"")</f>
        <v/>
      </c>
      <c r="M53" s="93" t="str">
        <f t="shared" si="0"/>
        <v/>
      </c>
      <c r="N53" s="93" t="str">
        <f>IF(L53="","",IF(IFERROR((G53/60)*M53*2*'Step 1- Hrly Rate Calc'!$D$14,"")&lt;0,"N/A",IFERROR((G53/60)*M53*2*'Step 1- Hrly Rate Calc'!$D$14,"")))</f>
        <v/>
      </c>
      <c r="O53" s="77" t="str">
        <f t="shared" si="1"/>
        <v/>
      </c>
      <c r="P53" s="77" t="str">
        <f t="shared" si="2"/>
        <v/>
      </c>
    </row>
    <row r="54" spans="2:16" s="61" customFormat="1" ht="34" customHeight="1" x14ac:dyDescent="0.2">
      <c r="B54" s="77" t="str">
        <f>IF('Step 2- Activity Inventory'!B57="","",'Step 2- Activity Inventory'!B57)</f>
        <v/>
      </c>
      <c r="C54" s="77" t="str">
        <f>IF('Step 2- Activity Inventory'!C57="","",'Step 2- Activity Inventory'!C57)</f>
        <v/>
      </c>
      <c r="D54" s="88" t="str">
        <f>IF('Step 2- Activity Inventory'!E57="","",'Step 2- Activity Inventory'!E57)</f>
        <v/>
      </c>
      <c r="E54" s="88" t="str">
        <f>IF('Step 2- Activity Inventory'!F57="","",'Step 2- Activity Inventory'!F57)</f>
        <v/>
      </c>
      <c r="F54" s="88" t="str">
        <f>IF(E54="Genius","N/A",IF('Step 2- Activity Inventory'!G57="","",'Step 2- Activity Inventory'!G57))</f>
        <v/>
      </c>
      <c r="G54" s="89" t="str">
        <f>IF('Step 2- Activity Inventory'!D57="","",'Step 2- Activity Inventory'!D57)</f>
        <v/>
      </c>
      <c r="H54" s="90"/>
      <c r="I54" s="24"/>
      <c r="J54" s="24"/>
      <c r="K54" s="91"/>
      <c r="L54" s="92" t="str">
        <f>IF(OR('Step 2- Activity Inventory'!O57=6,AND('Step 2- Activity Inventory'!O57=5,E54="Genius")),'Step 1- Hrly Rate Calc'!$D$18,"")</f>
        <v/>
      </c>
      <c r="M54" s="93" t="str">
        <f t="shared" si="0"/>
        <v/>
      </c>
      <c r="N54" s="93" t="str">
        <f>IF(L54="","",IF(IFERROR((G54/60)*M54*2*'Step 1- Hrly Rate Calc'!$D$14,"")&lt;0,"N/A",IFERROR((G54/60)*M54*2*'Step 1- Hrly Rate Calc'!$D$14,"")))</f>
        <v/>
      </c>
      <c r="O54" s="77" t="str">
        <f t="shared" si="1"/>
        <v/>
      </c>
      <c r="P54" s="77" t="str">
        <f t="shared" si="2"/>
        <v/>
      </c>
    </row>
    <row r="55" spans="2:16" s="61" customFormat="1" ht="34" customHeight="1" x14ac:dyDescent="0.2">
      <c r="B55" s="77" t="str">
        <f>IF('Step 2- Activity Inventory'!B58="","",'Step 2- Activity Inventory'!B58)</f>
        <v/>
      </c>
      <c r="C55" s="77" t="str">
        <f>IF('Step 2- Activity Inventory'!C58="","",'Step 2- Activity Inventory'!C58)</f>
        <v/>
      </c>
      <c r="D55" s="88" t="str">
        <f>IF('Step 2- Activity Inventory'!E58="","",'Step 2- Activity Inventory'!E58)</f>
        <v/>
      </c>
      <c r="E55" s="88" t="str">
        <f>IF('Step 2- Activity Inventory'!F58="","",'Step 2- Activity Inventory'!F58)</f>
        <v/>
      </c>
      <c r="F55" s="88" t="str">
        <f>IF(E55="Genius","N/A",IF('Step 2- Activity Inventory'!G58="","",'Step 2- Activity Inventory'!G58))</f>
        <v/>
      </c>
      <c r="G55" s="89" t="str">
        <f>IF('Step 2- Activity Inventory'!D58="","",'Step 2- Activity Inventory'!D58)</f>
        <v/>
      </c>
      <c r="H55" s="90"/>
      <c r="I55" s="24"/>
      <c r="J55" s="24"/>
      <c r="K55" s="91"/>
      <c r="L55" s="92" t="str">
        <f>IF(OR('Step 2- Activity Inventory'!O58=6,AND('Step 2- Activity Inventory'!O58=5,E55="Genius")),'Step 1- Hrly Rate Calc'!$D$18,"")</f>
        <v/>
      </c>
      <c r="M55" s="93" t="str">
        <f t="shared" si="0"/>
        <v/>
      </c>
      <c r="N55" s="93" t="str">
        <f>IF(L55="","",IF(IFERROR((G55/60)*M55*2*'Step 1- Hrly Rate Calc'!$D$14,"")&lt;0,"N/A",IFERROR((G55/60)*M55*2*'Step 1- Hrly Rate Calc'!$D$14,"")))</f>
        <v/>
      </c>
      <c r="O55" s="77" t="str">
        <f t="shared" si="1"/>
        <v/>
      </c>
      <c r="P55" s="77" t="str">
        <f t="shared" si="2"/>
        <v/>
      </c>
    </row>
    <row r="56" spans="2:16" s="61" customFormat="1" ht="34" customHeight="1" x14ac:dyDescent="0.2">
      <c r="B56" s="77" t="str">
        <f>IF('Step 2- Activity Inventory'!B59="","",'Step 2- Activity Inventory'!B59)</f>
        <v/>
      </c>
      <c r="C56" s="77" t="str">
        <f>IF('Step 2- Activity Inventory'!C59="","",'Step 2- Activity Inventory'!C59)</f>
        <v/>
      </c>
      <c r="D56" s="88" t="str">
        <f>IF('Step 2- Activity Inventory'!E59="","",'Step 2- Activity Inventory'!E59)</f>
        <v/>
      </c>
      <c r="E56" s="88" t="str">
        <f>IF('Step 2- Activity Inventory'!F59="","",'Step 2- Activity Inventory'!F59)</f>
        <v/>
      </c>
      <c r="F56" s="88" t="str">
        <f>IF(E56="Genius","N/A",IF('Step 2- Activity Inventory'!G59="","",'Step 2- Activity Inventory'!G59))</f>
        <v/>
      </c>
      <c r="G56" s="89" t="str">
        <f>IF('Step 2- Activity Inventory'!D59="","",'Step 2- Activity Inventory'!D59)</f>
        <v/>
      </c>
      <c r="H56" s="90"/>
      <c r="I56" s="24"/>
      <c r="J56" s="24"/>
      <c r="K56" s="91"/>
      <c r="L56" s="92" t="str">
        <f>IF(OR('Step 2- Activity Inventory'!O59=6,AND('Step 2- Activity Inventory'!O59=5,E56="Genius")),'Step 1- Hrly Rate Calc'!$D$18,"")</f>
        <v/>
      </c>
      <c r="M56" s="93" t="str">
        <f t="shared" si="0"/>
        <v/>
      </c>
      <c r="N56" s="93" t="str">
        <f>IF(L56="","",IF(IFERROR((G56/60)*M56*2*'Step 1- Hrly Rate Calc'!$D$14,"")&lt;0,"N/A",IFERROR((G56/60)*M56*2*'Step 1- Hrly Rate Calc'!$D$14,"")))</f>
        <v/>
      </c>
      <c r="O56" s="77" t="str">
        <f t="shared" si="1"/>
        <v/>
      </c>
      <c r="P56" s="77" t="str">
        <f t="shared" si="2"/>
        <v/>
      </c>
    </row>
    <row r="57" spans="2:16" s="61" customFormat="1" ht="34" customHeight="1" x14ac:dyDescent="0.2">
      <c r="B57" s="77" t="str">
        <f>IF('Step 2- Activity Inventory'!B60="","",'Step 2- Activity Inventory'!B60)</f>
        <v/>
      </c>
      <c r="C57" s="77" t="str">
        <f>IF('Step 2- Activity Inventory'!C60="","",'Step 2- Activity Inventory'!C60)</f>
        <v/>
      </c>
      <c r="D57" s="88" t="str">
        <f>IF('Step 2- Activity Inventory'!E60="","",'Step 2- Activity Inventory'!E60)</f>
        <v/>
      </c>
      <c r="E57" s="88" t="str">
        <f>IF('Step 2- Activity Inventory'!F60="","",'Step 2- Activity Inventory'!F60)</f>
        <v/>
      </c>
      <c r="F57" s="88" t="str">
        <f>IF(E57="Genius","N/A",IF('Step 2- Activity Inventory'!G60="","",'Step 2- Activity Inventory'!G60))</f>
        <v/>
      </c>
      <c r="G57" s="89" t="str">
        <f>IF('Step 2- Activity Inventory'!D60="","",'Step 2- Activity Inventory'!D60)</f>
        <v/>
      </c>
      <c r="H57" s="90"/>
      <c r="I57" s="24"/>
      <c r="J57" s="24"/>
      <c r="K57" s="91"/>
      <c r="L57" s="92" t="str">
        <f>IF(OR('Step 2- Activity Inventory'!O60=6,AND('Step 2- Activity Inventory'!O60=5,E57="Genius")),'Step 1- Hrly Rate Calc'!$D$18,"")</f>
        <v/>
      </c>
      <c r="M57" s="93" t="str">
        <f t="shared" si="0"/>
        <v/>
      </c>
      <c r="N57" s="93" t="str">
        <f>IF(L57="","",IF(IFERROR((G57/60)*M57*2*'Step 1- Hrly Rate Calc'!$D$14,"")&lt;0,"N/A",IFERROR((G57/60)*M57*2*'Step 1- Hrly Rate Calc'!$D$14,"")))</f>
        <v/>
      </c>
      <c r="O57" s="77" t="str">
        <f t="shared" si="1"/>
        <v/>
      </c>
      <c r="P57" s="77" t="str">
        <f t="shared" si="2"/>
        <v/>
      </c>
    </row>
    <row r="58" spans="2:16" s="61" customFormat="1" ht="34" customHeight="1" x14ac:dyDescent="0.2">
      <c r="B58" s="77" t="str">
        <f>IF('Step 2- Activity Inventory'!B61="","",'Step 2- Activity Inventory'!B61)</f>
        <v/>
      </c>
      <c r="C58" s="77" t="str">
        <f>IF('Step 2- Activity Inventory'!C61="","",'Step 2- Activity Inventory'!C61)</f>
        <v/>
      </c>
      <c r="D58" s="88" t="str">
        <f>IF('Step 2- Activity Inventory'!E61="","",'Step 2- Activity Inventory'!E61)</f>
        <v/>
      </c>
      <c r="E58" s="88" t="str">
        <f>IF('Step 2- Activity Inventory'!F61="","",'Step 2- Activity Inventory'!F61)</f>
        <v/>
      </c>
      <c r="F58" s="88" t="str">
        <f>IF(E58="Genius","N/A",IF('Step 2- Activity Inventory'!G61="","",'Step 2- Activity Inventory'!G61))</f>
        <v/>
      </c>
      <c r="G58" s="89" t="str">
        <f>IF('Step 2- Activity Inventory'!D61="","",'Step 2- Activity Inventory'!D61)</f>
        <v/>
      </c>
      <c r="H58" s="90"/>
      <c r="I58" s="24"/>
      <c r="J58" s="24"/>
      <c r="K58" s="91"/>
      <c r="L58" s="92" t="str">
        <f>IF(OR('Step 2- Activity Inventory'!O61=6,AND('Step 2- Activity Inventory'!O61=5,E58="Genius")),'Step 1- Hrly Rate Calc'!$D$18,"")</f>
        <v/>
      </c>
      <c r="M58" s="93" t="str">
        <f t="shared" si="0"/>
        <v/>
      </c>
      <c r="N58" s="93" t="str">
        <f>IF(L58="","",IF(IFERROR((G58/60)*M58*2*'Step 1- Hrly Rate Calc'!$D$14,"")&lt;0,"N/A",IFERROR((G58/60)*M58*2*'Step 1- Hrly Rate Calc'!$D$14,"")))</f>
        <v/>
      </c>
      <c r="O58" s="77" t="str">
        <f t="shared" si="1"/>
        <v/>
      </c>
      <c r="P58" s="77" t="str">
        <f t="shared" si="2"/>
        <v/>
      </c>
    </row>
    <row r="59" spans="2:16" s="61" customFormat="1" ht="34" customHeight="1" x14ac:dyDescent="0.2">
      <c r="B59" s="77" t="str">
        <f>IF('Step 2- Activity Inventory'!B62="","",'Step 2- Activity Inventory'!B62)</f>
        <v/>
      </c>
      <c r="C59" s="77" t="str">
        <f>IF('Step 2- Activity Inventory'!C62="","",'Step 2- Activity Inventory'!C62)</f>
        <v/>
      </c>
      <c r="D59" s="88" t="str">
        <f>IF('Step 2- Activity Inventory'!E62="","",'Step 2- Activity Inventory'!E62)</f>
        <v/>
      </c>
      <c r="E59" s="88" t="str">
        <f>IF('Step 2- Activity Inventory'!F62="","",'Step 2- Activity Inventory'!F62)</f>
        <v/>
      </c>
      <c r="F59" s="88" t="str">
        <f>IF(E59="Genius","N/A",IF('Step 2- Activity Inventory'!G62="","",'Step 2- Activity Inventory'!G62))</f>
        <v/>
      </c>
      <c r="G59" s="89" t="str">
        <f>IF('Step 2- Activity Inventory'!D62="","",'Step 2- Activity Inventory'!D62)</f>
        <v/>
      </c>
      <c r="H59" s="90"/>
      <c r="I59" s="24"/>
      <c r="J59" s="24"/>
      <c r="K59" s="91"/>
      <c r="L59" s="92" t="str">
        <f>IF(OR('Step 2- Activity Inventory'!O62=6,AND('Step 2- Activity Inventory'!O62=5,E59="Genius")),'Step 1- Hrly Rate Calc'!$D$18,"")</f>
        <v/>
      </c>
      <c r="M59" s="93" t="str">
        <f t="shared" si="0"/>
        <v/>
      </c>
      <c r="N59" s="93" t="str">
        <f>IF(L59="","",IF(IFERROR((G59/60)*M59*2*'Step 1- Hrly Rate Calc'!$D$14,"")&lt;0,"N/A",IFERROR((G59/60)*M59*2*'Step 1- Hrly Rate Calc'!$D$14,"")))</f>
        <v/>
      </c>
      <c r="O59" s="77" t="str">
        <f t="shared" si="1"/>
        <v/>
      </c>
      <c r="P59" s="77" t="str">
        <f t="shared" si="2"/>
        <v/>
      </c>
    </row>
    <row r="60" spans="2:16" s="61" customFormat="1" ht="34" customHeight="1" x14ac:dyDescent="0.2">
      <c r="B60" s="77" t="str">
        <f>IF('Step 2- Activity Inventory'!B63="","",'Step 2- Activity Inventory'!B63)</f>
        <v/>
      </c>
      <c r="C60" s="77" t="str">
        <f>IF('Step 2- Activity Inventory'!C63="","",'Step 2- Activity Inventory'!C63)</f>
        <v/>
      </c>
      <c r="D60" s="88" t="str">
        <f>IF('Step 2- Activity Inventory'!E63="","",'Step 2- Activity Inventory'!E63)</f>
        <v/>
      </c>
      <c r="E60" s="88" t="str">
        <f>IF('Step 2- Activity Inventory'!F63="","",'Step 2- Activity Inventory'!F63)</f>
        <v/>
      </c>
      <c r="F60" s="88" t="str">
        <f>IF(E60="Genius","N/A",IF('Step 2- Activity Inventory'!G63="","",'Step 2- Activity Inventory'!G63))</f>
        <v/>
      </c>
      <c r="G60" s="89" t="str">
        <f>IF('Step 2- Activity Inventory'!D63="","",'Step 2- Activity Inventory'!D63)</f>
        <v/>
      </c>
      <c r="H60" s="90"/>
      <c r="I60" s="24"/>
      <c r="J60" s="24"/>
      <c r="K60" s="91"/>
      <c r="L60" s="92" t="str">
        <f>IF(OR('Step 2- Activity Inventory'!O63=6,AND('Step 2- Activity Inventory'!O63=5,E60="Genius")),'Step 1- Hrly Rate Calc'!$D$18,"")</f>
        <v/>
      </c>
      <c r="M60" s="93" t="str">
        <f t="shared" si="0"/>
        <v/>
      </c>
      <c r="N60" s="93" t="str">
        <f>IF(L60="","",IF(IFERROR((G60/60)*M60*2*'Step 1- Hrly Rate Calc'!$D$14,"")&lt;0,"N/A",IFERROR((G60/60)*M60*2*'Step 1- Hrly Rate Calc'!$D$14,"")))</f>
        <v/>
      </c>
      <c r="O60" s="77" t="str">
        <f t="shared" si="1"/>
        <v/>
      </c>
      <c r="P60" s="77" t="str">
        <f t="shared" si="2"/>
        <v/>
      </c>
    </row>
    <row r="61" spans="2:16" s="61" customFormat="1" ht="34" customHeight="1" x14ac:dyDescent="0.2">
      <c r="B61" s="77" t="str">
        <f>IF('Step 2- Activity Inventory'!B64="","",'Step 2- Activity Inventory'!B64)</f>
        <v/>
      </c>
      <c r="C61" s="77" t="str">
        <f>IF('Step 2- Activity Inventory'!C64="","",'Step 2- Activity Inventory'!C64)</f>
        <v/>
      </c>
      <c r="D61" s="88" t="str">
        <f>IF('Step 2- Activity Inventory'!E64="","",'Step 2- Activity Inventory'!E64)</f>
        <v/>
      </c>
      <c r="E61" s="88" t="str">
        <f>IF('Step 2- Activity Inventory'!F64="","",'Step 2- Activity Inventory'!F64)</f>
        <v/>
      </c>
      <c r="F61" s="88" t="str">
        <f>IF(E61="Genius","N/A",IF('Step 2- Activity Inventory'!G64="","",'Step 2- Activity Inventory'!G64))</f>
        <v/>
      </c>
      <c r="G61" s="89" t="str">
        <f>IF('Step 2- Activity Inventory'!D64="","",'Step 2- Activity Inventory'!D64)</f>
        <v/>
      </c>
      <c r="H61" s="90"/>
      <c r="I61" s="24"/>
      <c r="J61" s="24"/>
      <c r="K61" s="91"/>
      <c r="L61" s="92" t="str">
        <f>IF(OR('Step 2- Activity Inventory'!O64=6,AND('Step 2- Activity Inventory'!O64=5,E61="Genius")),'Step 1- Hrly Rate Calc'!$D$18,"")</f>
        <v/>
      </c>
      <c r="M61" s="93" t="str">
        <f t="shared" si="0"/>
        <v/>
      </c>
      <c r="N61" s="93" t="str">
        <f>IF(L61="","",IF(IFERROR((G61/60)*M61*2*'Step 1- Hrly Rate Calc'!$D$14,"")&lt;0,"N/A",IFERROR((G61/60)*M61*2*'Step 1- Hrly Rate Calc'!$D$14,"")))</f>
        <v/>
      </c>
      <c r="O61" s="77" t="str">
        <f t="shared" si="1"/>
        <v/>
      </c>
      <c r="P61" s="77" t="str">
        <f t="shared" si="2"/>
        <v/>
      </c>
    </row>
    <row r="62" spans="2:16" s="61" customFormat="1" ht="34" customHeight="1" x14ac:dyDescent="0.2">
      <c r="B62" s="77" t="str">
        <f>IF('Step 2- Activity Inventory'!B65="","",'Step 2- Activity Inventory'!B65)</f>
        <v/>
      </c>
      <c r="C62" s="77" t="str">
        <f>IF('Step 2- Activity Inventory'!C65="","",'Step 2- Activity Inventory'!C65)</f>
        <v/>
      </c>
      <c r="D62" s="88" t="str">
        <f>IF('Step 2- Activity Inventory'!E65="","",'Step 2- Activity Inventory'!E65)</f>
        <v/>
      </c>
      <c r="E62" s="88" t="str">
        <f>IF('Step 2- Activity Inventory'!F65="","",'Step 2- Activity Inventory'!F65)</f>
        <v/>
      </c>
      <c r="F62" s="88" t="str">
        <f>IF(E62="Genius","N/A",IF('Step 2- Activity Inventory'!G65="","",'Step 2- Activity Inventory'!G65))</f>
        <v/>
      </c>
      <c r="G62" s="89" t="str">
        <f>IF('Step 2- Activity Inventory'!D65="","",'Step 2- Activity Inventory'!D65)</f>
        <v/>
      </c>
      <c r="H62" s="90"/>
      <c r="I62" s="24"/>
      <c r="J62" s="24"/>
      <c r="K62" s="91"/>
      <c r="L62" s="92" t="str">
        <f>IF(OR('Step 2- Activity Inventory'!O65=6,AND('Step 2- Activity Inventory'!O65=5,E62="Genius")),'Step 1- Hrly Rate Calc'!$D$18,"")</f>
        <v/>
      </c>
      <c r="M62" s="93" t="str">
        <f t="shared" si="0"/>
        <v/>
      </c>
      <c r="N62" s="93" t="str">
        <f>IF(L62="","",IF(IFERROR((G62/60)*M62*2*'Step 1- Hrly Rate Calc'!$D$14,"")&lt;0,"N/A",IFERROR((G62/60)*M62*2*'Step 1- Hrly Rate Calc'!$D$14,"")))</f>
        <v/>
      </c>
      <c r="O62" s="77" t="str">
        <f t="shared" si="1"/>
        <v/>
      </c>
      <c r="P62" s="77" t="str">
        <f t="shared" si="2"/>
        <v/>
      </c>
    </row>
    <row r="63" spans="2:16" s="61" customFormat="1" ht="34" customHeight="1" x14ac:dyDescent="0.2">
      <c r="B63" s="77" t="str">
        <f>IF('Step 2- Activity Inventory'!B66="","",'Step 2- Activity Inventory'!B66)</f>
        <v/>
      </c>
      <c r="C63" s="77" t="str">
        <f>IF('Step 2- Activity Inventory'!C66="","",'Step 2- Activity Inventory'!C66)</f>
        <v/>
      </c>
      <c r="D63" s="88" t="str">
        <f>IF('Step 2- Activity Inventory'!E66="","",'Step 2- Activity Inventory'!E66)</f>
        <v/>
      </c>
      <c r="E63" s="88" t="str">
        <f>IF('Step 2- Activity Inventory'!F66="","",'Step 2- Activity Inventory'!F66)</f>
        <v/>
      </c>
      <c r="F63" s="88" t="str">
        <f>IF(E63="Genius","N/A",IF('Step 2- Activity Inventory'!G66="","",'Step 2- Activity Inventory'!G66))</f>
        <v/>
      </c>
      <c r="G63" s="89" t="str">
        <f>IF('Step 2- Activity Inventory'!D66="","",'Step 2- Activity Inventory'!D66)</f>
        <v/>
      </c>
      <c r="H63" s="90"/>
      <c r="I63" s="24"/>
      <c r="J63" s="24"/>
      <c r="K63" s="91"/>
      <c r="L63" s="92" t="str">
        <f>IF(OR('Step 2- Activity Inventory'!O66=6,AND('Step 2- Activity Inventory'!O66=5,E63="Genius")),'Step 1- Hrly Rate Calc'!$D$18,"")</f>
        <v/>
      </c>
      <c r="M63" s="93" t="str">
        <f t="shared" si="0"/>
        <v/>
      </c>
      <c r="N63" s="93" t="str">
        <f>IF(L63="","",IF(IFERROR((G63/60)*M63*2*'Step 1- Hrly Rate Calc'!$D$14,"")&lt;0,"N/A",IFERROR((G63/60)*M63*2*'Step 1- Hrly Rate Calc'!$D$14,"")))</f>
        <v/>
      </c>
      <c r="O63" s="77" t="str">
        <f t="shared" si="1"/>
        <v/>
      </c>
      <c r="P63" s="77" t="str">
        <f t="shared" si="2"/>
        <v/>
      </c>
    </row>
    <row r="64" spans="2:16" s="61" customFormat="1" ht="34" customHeight="1" x14ac:dyDescent="0.2">
      <c r="B64" s="77" t="str">
        <f>IF('Step 2- Activity Inventory'!B67="","",'Step 2- Activity Inventory'!B67)</f>
        <v/>
      </c>
      <c r="C64" s="77" t="str">
        <f>IF('Step 2- Activity Inventory'!C67="","",'Step 2- Activity Inventory'!C67)</f>
        <v/>
      </c>
      <c r="D64" s="88" t="str">
        <f>IF('Step 2- Activity Inventory'!E67="","",'Step 2- Activity Inventory'!E67)</f>
        <v/>
      </c>
      <c r="E64" s="88" t="str">
        <f>IF('Step 2- Activity Inventory'!F67="","",'Step 2- Activity Inventory'!F67)</f>
        <v/>
      </c>
      <c r="F64" s="88" t="str">
        <f>IF(E64="Genius","N/A",IF('Step 2- Activity Inventory'!G67="","",'Step 2- Activity Inventory'!G67))</f>
        <v/>
      </c>
      <c r="G64" s="89" t="str">
        <f>IF('Step 2- Activity Inventory'!D67="","",'Step 2- Activity Inventory'!D67)</f>
        <v/>
      </c>
      <c r="H64" s="90"/>
      <c r="I64" s="24"/>
      <c r="J64" s="24"/>
      <c r="K64" s="91"/>
      <c r="L64" s="92" t="str">
        <f>IF(OR('Step 2- Activity Inventory'!O67=6,AND('Step 2- Activity Inventory'!O67=5,E64="Genius")),'Step 1- Hrly Rate Calc'!$D$18,"")</f>
        <v/>
      </c>
      <c r="M64" s="93" t="str">
        <f t="shared" si="0"/>
        <v/>
      </c>
      <c r="N64" s="93" t="str">
        <f>IF(L64="","",IF(IFERROR((G64/60)*M64*2*'Step 1- Hrly Rate Calc'!$D$14,"")&lt;0,"N/A",IFERROR((G64/60)*M64*2*'Step 1- Hrly Rate Calc'!$D$14,"")))</f>
        <v/>
      </c>
      <c r="O64" s="77" t="str">
        <f t="shared" si="1"/>
        <v/>
      </c>
      <c r="P64" s="77" t="str">
        <f t="shared" si="2"/>
        <v/>
      </c>
    </row>
    <row r="65" spans="2:16" s="61" customFormat="1" ht="34" customHeight="1" x14ac:dyDescent="0.2">
      <c r="B65" s="77" t="str">
        <f>IF('Step 2- Activity Inventory'!B68="","",'Step 2- Activity Inventory'!B68)</f>
        <v/>
      </c>
      <c r="C65" s="77" t="str">
        <f>IF('Step 2- Activity Inventory'!C68="","",'Step 2- Activity Inventory'!C68)</f>
        <v/>
      </c>
      <c r="D65" s="88" t="str">
        <f>IF('Step 2- Activity Inventory'!E68="","",'Step 2- Activity Inventory'!E68)</f>
        <v/>
      </c>
      <c r="E65" s="88" t="str">
        <f>IF('Step 2- Activity Inventory'!F68="","",'Step 2- Activity Inventory'!F68)</f>
        <v/>
      </c>
      <c r="F65" s="88" t="str">
        <f>IF(E65="Genius","N/A",IF('Step 2- Activity Inventory'!G68="","",'Step 2- Activity Inventory'!G68))</f>
        <v/>
      </c>
      <c r="G65" s="89" t="str">
        <f>IF('Step 2- Activity Inventory'!D68="","",'Step 2- Activity Inventory'!D68)</f>
        <v/>
      </c>
      <c r="H65" s="90"/>
      <c r="I65" s="24"/>
      <c r="J65" s="24"/>
      <c r="K65" s="91"/>
      <c r="L65" s="92" t="str">
        <f>IF(OR('Step 2- Activity Inventory'!O68=6,AND('Step 2- Activity Inventory'!O68=5,E65="Genius")),'Step 1- Hrly Rate Calc'!$D$18,"")</f>
        <v/>
      </c>
      <c r="M65" s="93" t="str">
        <f t="shared" si="0"/>
        <v/>
      </c>
      <c r="N65" s="93" t="str">
        <f>IF(L65="","",IF(IFERROR((G65/60)*M65*2*'Step 1- Hrly Rate Calc'!$D$14,"")&lt;0,"N/A",IFERROR((G65/60)*M65*2*'Step 1- Hrly Rate Calc'!$D$14,"")))</f>
        <v/>
      </c>
      <c r="O65" s="77" t="str">
        <f t="shared" si="1"/>
        <v/>
      </c>
      <c r="P65" s="77" t="str">
        <f t="shared" si="2"/>
        <v/>
      </c>
    </row>
    <row r="66" spans="2:16" s="61" customFormat="1" ht="34" customHeight="1" x14ac:dyDescent="0.2">
      <c r="B66" s="77" t="str">
        <f>IF('Step 2- Activity Inventory'!B69="","",'Step 2- Activity Inventory'!B69)</f>
        <v/>
      </c>
      <c r="C66" s="77" t="str">
        <f>IF('Step 2- Activity Inventory'!C69="","",'Step 2- Activity Inventory'!C69)</f>
        <v/>
      </c>
      <c r="D66" s="88" t="str">
        <f>IF('Step 2- Activity Inventory'!E69="","",'Step 2- Activity Inventory'!E69)</f>
        <v/>
      </c>
      <c r="E66" s="88" t="str">
        <f>IF('Step 2- Activity Inventory'!F69="","",'Step 2- Activity Inventory'!F69)</f>
        <v/>
      </c>
      <c r="F66" s="88" t="str">
        <f>IF(E66="Genius","N/A",IF('Step 2- Activity Inventory'!G69="","",'Step 2- Activity Inventory'!G69))</f>
        <v/>
      </c>
      <c r="G66" s="89" t="str">
        <f>IF('Step 2- Activity Inventory'!D69="","",'Step 2- Activity Inventory'!D69)</f>
        <v/>
      </c>
      <c r="H66" s="90"/>
      <c r="I66" s="24"/>
      <c r="J66" s="24"/>
      <c r="K66" s="91"/>
      <c r="L66" s="92" t="str">
        <f>IF(OR('Step 2- Activity Inventory'!O69=6,AND('Step 2- Activity Inventory'!O69=5,E66="Genius")),'Step 1- Hrly Rate Calc'!$D$18,"")</f>
        <v/>
      </c>
      <c r="M66" s="93" t="str">
        <f t="shared" si="0"/>
        <v/>
      </c>
      <c r="N66" s="93" t="str">
        <f>IF(L66="","",IF(IFERROR((G66/60)*M66*2*'Step 1- Hrly Rate Calc'!$D$14,"")&lt;0,"N/A",IFERROR((G66/60)*M66*2*'Step 1- Hrly Rate Calc'!$D$14,"")))</f>
        <v/>
      </c>
      <c r="O66" s="77" t="str">
        <f t="shared" si="1"/>
        <v/>
      </c>
      <c r="P66" s="77" t="str">
        <f t="shared" si="2"/>
        <v/>
      </c>
    </row>
    <row r="67" spans="2:16" s="61" customFormat="1" ht="34" customHeight="1" x14ac:dyDescent="0.2">
      <c r="B67" s="77" t="str">
        <f>IF('Step 2- Activity Inventory'!B70="","",'Step 2- Activity Inventory'!B70)</f>
        <v/>
      </c>
      <c r="C67" s="77" t="str">
        <f>IF('Step 2- Activity Inventory'!C70="","",'Step 2- Activity Inventory'!C70)</f>
        <v/>
      </c>
      <c r="D67" s="88" t="str">
        <f>IF('Step 2- Activity Inventory'!E70="","",'Step 2- Activity Inventory'!E70)</f>
        <v/>
      </c>
      <c r="E67" s="88" t="str">
        <f>IF('Step 2- Activity Inventory'!F70="","",'Step 2- Activity Inventory'!F70)</f>
        <v/>
      </c>
      <c r="F67" s="88" t="str">
        <f>IF(E67="Genius","N/A",IF('Step 2- Activity Inventory'!G70="","",'Step 2- Activity Inventory'!G70))</f>
        <v/>
      </c>
      <c r="G67" s="89" t="str">
        <f>IF('Step 2- Activity Inventory'!D70="","",'Step 2- Activity Inventory'!D70)</f>
        <v/>
      </c>
      <c r="H67" s="90"/>
      <c r="I67" s="24"/>
      <c r="J67" s="24"/>
      <c r="K67" s="91"/>
      <c r="L67" s="92" t="str">
        <f>IF(OR('Step 2- Activity Inventory'!O70=6,AND('Step 2- Activity Inventory'!O70=5,E67="Genius")),'Step 1- Hrly Rate Calc'!$D$18,"")</f>
        <v/>
      </c>
      <c r="M67" s="93" t="str">
        <f t="shared" si="0"/>
        <v/>
      </c>
      <c r="N67" s="93" t="str">
        <f>IF(L67="","",IF(IFERROR((G67/60)*M67*2*'Step 1- Hrly Rate Calc'!$D$14,"")&lt;0,"N/A",IFERROR((G67/60)*M67*2*'Step 1- Hrly Rate Calc'!$D$14,"")))</f>
        <v/>
      </c>
      <c r="O67" s="77" t="str">
        <f t="shared" si="1"/>
        <v/>
      </c>
      <c r="P67" s="77" t="str">
        <f t="shared" si="2"/>
        <v/>
      </c>
    </row>
    <row r="68" spans="2:16" s="61" customFormat="1" ht="34" customHeight="1" x14ac:dyDescent="0.2">
      <c r="B68" s="77" t="str">
        <f>IF('Step 2- Activity Inventory'!B71="","",'Step 2- Activity Inventory'!B71)</f>
        <v/>
      </c>
      <c r="C68" s="77" t="str">
        <f>IF('Step 2- Activity Inventory'!C71="","",'Step 2- Activity Inventory'!C71)</f>
        <v/>
      </c>
      <c r="D68" s="88" t="str">
        <f>IF('Step 2- Activity Inventory'!E71="","",'Step 2- Activity Inventory'!E71)</f>
        <v/>
      </c>
      <c r="E68" s="88" t="str">
        <f>IF('Step 2- Activity Inventory'!F71="","",'Step 2- Activity Inventory'!F71)</f>
        <v/>
      </c>
      <c r="F68" s="88" t="str">
        <f>IF(E68="Genius","N/A",IF('Step 2- Activity Inventory'!G71="","",'Step 2- Activity Inventory'!G71))</f>
        <v/>
      </c>
      <c r="G68" s="89" t="str">
        <f>IF('Step 2- Activity Inventory'!D71="","",'Step 2- Activity Inventory'!D71)</f>
        <v/>
      </c>
      <c r="H68" s="90"/>
      <c r="I68" s="24"/>
      <c r="J68" s="24"/>
      <c r="K68" s="91"/>
      <c r="L68" s="92" t="str">
        <f>IF(OR('Step 2- Activity Inventory'!O71=6,AND('Step 2- Activity Inventory'!O71=5,E68="Genius")),'Step 1- Hrly Rate Calc'!$D$18,"")</f>
        <v/>
      </c>
      <c r="M68" s="93" t="str">
        <f t="shared" si="0"/>
        <v/>
      </c>
      <c r="N68" s="93" t="str">
        <f>IF(L68="","",IF(IFERROR((G68/60)*M68*2*'Step 1- Hrly Rate Calc'!$D$14,"")&lt;0,"N/A",IFERROR((G68/60)*M68*2*'Step 1- Hrly Rate Calc'!$D$14,"")))</f>
        <v/>
      </c>
      <c r="O68" s="77" t="str">
        <f t="shared" si="1"/>
        <v/>
      </c>
      <c r="P68" s="77" t="str">
        <f t="shared" si="2"/>
        <v/>
      </c>
    </row>
    <row r="69" spans="2:16" s="61" customFormat="1" ht="34" customHeight="1" x14ac:dyDescent="0.2">
      <c r="B69" s="77" t="str">
        <f>IF('Step 2- Activity Inventory'!B72="","",'Step 2- Activity Inventory'!B72)</f>
        <v/>
      </c>
      <c r="C69" s="77" t="str">
        <f>IF('Step 2- Activity Inventory'!C72="","",'Step 2- Activity Inventory'!C72)</f>
        <v/>
      </c>
      <c r="D69" s="88" t="str">
        <f>IF('Step 2- Activity Inventory'!E72="","",'Step 2- Activity Inventory'!E72)</f>
        <v/>
      </c>
      <c r="E69" s="88" t="str">
        <f>IF('Step 2- Activity Inventory'!F72="","",'Step 2- Activity Inventory'!F72)</f>
        <v/>
      </c>
      <c r="F69" s="88" t="str">
        <f>IF(E69="Genius","N/A",IF('Step 2- Activity Inventory'!G72="","",'Step 2- Activity Inventory'!G72))</f>
        <v/>
      </c>
      <c r="G69" s="89" t="str">
        <f>IF('Step 2- Activity Inventory'!D72="","",'Step 2- Activity Inventory'!D72)</f>
        <v/>
      </c>
      <c r="H69" s="90"/>
      <c r="I69" s="24"/>
      <c r="J69" s="24"/>
      <c r="K69" s="91"/>
      <c r="L69" s="92" t="str">
        <f>IF(OR('Step 2- Activity Inventory'!O72=6,AND('Step 2- Activity Inventory'!O72=5,E69="Genius")),'Step 1- Hrly Rate Calc'!$D$18,"")</f>
        <v/>
      </c>
      <c r="M69" s="93" t="str">
        <f t="shared" si="0"/>
        <v/>
      </c>
      <c r="N69" s="93" t="str">
        <f>IF(L69="","",IF(IFERROR((G69/60)*M69*2*'Step 1- Hrly Rate Calc'!$D$14,"")&lt;0,"N/A",IFERROR((G69/60)*M69*2*'Step 1- Hrly Rate Calc'!$D$14,"")))</f>
        <v/>
      </c>
      <c r="O69" s="77" t="str">
        <f t="shared" si="1"/>
        <v/>
      </c>
      <c r="P69" s="77" t="str">
        <f t="shared" si="2"/>
        <v/>
      </c>
    </row>
    <row r="70" spans="2:16" s="61" customFormat="1" ht="34" customHeight="1" x14ac:dyDescent="0.2">
      <c r="B70" s="77" t="str">
        <f>IF('Step 2- Activity Inventory'!B73="","",'Step 2- Activity Inventory'!B73)</f>
        <v/>
      </c>
      <c r="C70" s="77" t="str">
        <f>IF('Step 2- Activity Inventory'!C73="","",'Step 2- Activity Inventory'!C73)</f>
        <v/>
      </c>
      <c r="D70" s="88" t="str">
        <f>IF('Step 2- Activity Inventory'!E73="","",'Step 2- Activity Inventory'!E73)</f>
        <v/>
      </c>
      <c r="E70" s="88" t="str">
        <f>IF('Step 2- Activity Inventory'!F73="","",'Step 2- Activity Inventory'!F73)</f>
        <v/>
      </c>
      <c r="F70" s="88" t="str">
        <f>IF(E70="Genius","N/A",IF('Step 2- Activity Inventory'!G73="","",'Step 2- Activity Inventory'!G73))</f>
        <v/>
      </c>
      <c r="G70" s="89" t="str">
        <f>IF('Step 2- Activity Inventory'!D73="","",'Step 2- Activity Inventory'!D73)</f>
        <v/>
      </c>
      <c r="H70" s="90"/>
      <c r="I70" s="24"/>
      <c r="J70" s="24"/>
      <c r="K70" s="91"/>
      <c r="L70" s="92" t="str">
        <f>IF(OR('Step 2- Activity Inventory'!O73=6,AND('Step 2- Activity Inventory'!O73=5,E70="Genius")),'Step 1- Hrly Rate Calc'!$D$18,"")</f>
        <v/>
      </c>
      <c r="M70" s="93" t="str">
        <f t="shared" si="0"/>
        <v/>
      </c>
      <c r="N70" s="93" t="str">
        <f>IF(L70="","",IF(IFERROR((G70/60)*M70*2*'Step 1- Hrly Rate Calc'!$D$14,"")&lt;0,"N/A",IFERROR((G70/60)*M70*2*'Step 1- Hrly Rate Calc'!$D$14,"")))</f>
        <v/>
      </c>
      <c r="O70" s="77" t="str">
        <f t="shared" si="1"/>
        <v/>
      </c>
      <c r="P70" s="77" t="str">
        <f t="shared" si="2"/>
        <v/>
      </c>
    </row>
    <row r="71" spans="2:16" s="61" customFormat="1" ht="34" customHeight="1" x14ac:dyDescent="0.2">
      <c r="B71" s="77" t="str">
        <f>IF('Step 2- Activity Inventory'!B74="","",'Step 2- Activity Inventory'!B74)</f>
        <v/>
      </c>
      <c r="C71" s="77" t="str">
        <f>IF('Step 2- Activity Inventory'!C74="","",'Step 2- Activity Inventory'!C74)</f>
        <v/>
      </c>
      <c r="D71" s="88" t="str">
        <f>IF('Step 2- Activity Inventory'!E74="","",'Step 2- Activity Inventory'!E74)</f>
        <v/>
      </c>
      <c r="E71" s="88" t="str">
        <f>IF('Step 2- Activity Inventory'!F74="","",'Step 2- Activity Inventory'!F74)</f>
        <v/>
      </c>
      <c r="F71" s="88" t="str">
        <f>IF(E71="Genius","N/A",IF('Step 2- Activity Inventory'!G74="","",'Step 2- Activity Inventory'!G74))</f>
        <v/>
      </c>
      <c r="G71" s="89" t="str">
        <f>IF('Step 2- Activity Inventory'!D74="","",'Step 2- Activity Inventory'!D74)</f>
        <v/>
      </c>
      <c r="H71" s="90"/>
      <c r="I71" s="24"/>
      <c r="J71" s="24"/>
      <c r="K71" s="91"/>
      <c r="L71" s="92" t="str">
        <f>IF(OR('Step 2- Activity Inventory'!O74=6,AND('Step 2- Activity Inventory'!O74=5,E71="Genius")),'Step 1- Hrly Rate Calc'!$D$18,"")</f>
        <v/>
      </c>
      <c r="M71" s="93" t="str">
        <f t="shared" si="0"/>
        <v/>
      </c>
      <c r="N71" s="93" t="str">
        <f>IF(L71="","",IF(IFERROR((G71/60)*M71*2*'Step 1- Hrly Rate Calc'!$D$14,"")&lt;0,"N/A",IFERROR((G71/60)*M71*2*'Step 1- Hrly Rate Calc'!$D$14,"")))</f>
        <v/>
      </c>
      <c r="O71" s="77" t="str">
        <f t="shared" si="1"/>
        <v/>
      </c>
      <c r="P71" s="77" t="str">
        <f t="shared" si="2"/>
        <v/>
      </c>
    </row>
    <row r="72" spans="2:16" s="61" customFormat="1" ht="34" customHeight="1" x14ac:dyDescent="0.2">
      <c r="B72" s="77" t="str">
        <f>IF('Step 2- Activity Inventory'!B75="","",'Step 2- Activity Inventory'!B75)</f>
        <v/>
      </c>
      <c r="C72" s="77" t="str">
        <f>IF('Step 2- Activity Inventory'!C75="","",'Step 2- Activity Inventory'!C75)</f>
        <v/>
      </c>
      <c r="D72" s="88" t="str">
        <f>IF('Step 2- Activity Inventory'!E75="","",'Step 2- Activity Inventory'!E75)</f>
        <v/>
      </c>
      <c r="E72" s="88" t="str">
        <f>IF('Step 2- Activity Inventory'!F75="","",'Step 2- Activity Inventory'!F75)</f>
        <v/>
      </c>
      <c r="F72" s="88" t="str">
        <f>IF(E72="Genius","N/A",IF('Step 2- Activity Inventory'!G75="","",'Step 2- Activity Inventory'!G75))</f>
        <v/>
      </c>
      <c r="G72" s="89" t="str">
        <f>IF('Step 2- Activity Inventory'!D75="","",'Step 2- Activity Inventory'!D75)</f>
        <v/>
      </c>
      <c r="H72" s="90"/>
      <c r="I72" s="24"/>
      <c r="J72" s="24"/>
      <c r="K72" s="91"/>
      <c r="L72" s="92" t="str">
        <f>IF(OR('Step 2- Activity Inventory'!O75=6,AND('Step 2- Activity Inventory'!O75=5,E72="Genius")),'Step 1- Hrly Rate Calc'!$D$18,"")</f>
        <v/>
      </c>
      <c r="M72" s="93" t="str">
        <f t="shared" si="0"/>
        <v/>
      </c>
      <c r="N72" s="93" t="str">
        <f>IF(L72="","",IF(IFERROR((G72/60)*M72*2*'Step 1- Hrly Rate Calc'!$D$14,"")&lt;0,"N/A",IFERROR((G72/60)*M72*2*'Step 1- Hrly Rate Calc'!$D$14,"")))</f>
        <v/>
      </c>
      <c r="O72" s="77" t="str">
        <f t="shared" si="1"/>
        <v/>
      </c>
      <c r="P72" s="77" t="str">
        <f t="shared" si="2"/>
        <v/>
      </c>
    </row>
    <row r="73" spans="2:16" s="61" customFormat="1" ht="34" customHeight="1" x14ac:dyDescent="0.2">
      <c r="B73" s="77" t="str">
        <f>IF('Step 2- Activity Inventory'!B76="","",'Step 2- Activity Inventory'!B76)</f>
        <v/>
      </c>
      <c r="C73" s="77" t="str">
        <f>IF('Step 2- Activity Inventory'!C76="","",'Step 2- Activity Inventory'!C76)</f>
        <v/>
      </c>
      <c r="D73" s="88" t="str">
        <f>IF('Step 2- Activity Inventory'!E76="","",'Step 2- Activity Inventory'!E76)</f>
        <v/>
      </c>
      <c r="E73" s="88" t="str">
        <f>IF('Step 2- Activity Inventory'!F76="","",'Step 2- Activity Inventory'!F76)</f>
        <v/>
      </c>
      <c r="F73" s="88" t="str">
        <f>IF(E73="Genius","N/A",IF('Step 2- Activity Inventory'!G76="","",'Step 2- Activity Inventory'!G76))</f>
        <v/>
      </c>
      <c r="G73" s="89" t="str">
        <f>IF('Step 2- Activity Inventory'!D76="","",'Step 2- Activity Inventory'!D76)</f>
        <v/>
      </c>
      <c r="H73" s="90"/>
      <c r="I73" s="24"/>
      <c r="J73" s="24"/>
      <c r="K73" s="91"/>
      <c r="L73" s="92" t="str">
        <f>IF(OR('Step 2- Activity Inventory'!O76=6,AND('Step 2- Activity Inventory'!O76=5,E73="Genius")),'Step 1- Hrly Rate Calc'!$D$18,"")</f>
        <v/>
      </c>
      <c r="M73" s="93" t="str">
        <f t="shared" ref="M73:M136" si="3">IF(B73="","",IFERROR(K73-L73,""))</f>
        <v/>
      </c>
      <c r="N73" s="93" t="str">
        <f>IF(L73="","",IF(IFERROR((G73/60)*M73*2*'Step 1- Hrly Rate Calc'!$D$14,"")&lt;0,"N/A",IFERROR((G73/60)*M73*2*'Step 1- Hrly Rate Calc'!$D$14,"")))</f>
        <v/>
      </c>
      <c r="O73" s="77" t="str">
        <f t="shared" ref="O73:O136" si="4">IF(E73="Genius","KEEP DOING",IF(L73="","",IF(K73&gt;(L73*0.75),"KEEP DOING","STOP DOING")))</f>
        <v/>
      </c>
      <c r="P73" s="77" t="str">
        <f t="shared" ref="P73:P136" si="5">IF(L73="","",IF(O73="STOP DOING",IF(J73="Yes","Ready to Stop Doing","Not Ready"),"N/A"))</f>
        <v/>
      </c>
    </row>
    <row r="74" spans="2:16" s="61" customFormat="1" ht="34" customHeight="1" x14ac:dyDescent="0.2">
      <c r="B74" s="77" t="str">
        <f>IF('Step 2- Activity Inventory'!B77="","",'Step 2- Activity Inventory'!B77)</f>
        <v/>
      </c>
      <c r="C74" s="77" t="str">
        <f>IF('Step 2- Activity Inventory'!C77="","",'Step 2- Activity Inventory'!C77)</f>
        <v/>
      </c>
      <c r="D74" s="88" t="str">
        <f>IF('Step 2- Activity Inventory'!E77="","",'Step 2- Activity Inventory'!E77)</f>
        <v/>
      </c>
      <c r="E74" s="88" t="str">
        <f>IF('Step 2- Activity Inventory'!F77="","",'Step 2- Activity Inventory'!F77)</f>
        <v/>
      </c>
      <c r="F74" s="88" t="str">
        <f>IF(E74="Genius","N/A",IF('Step 2- Activity Inventory'!G77="","",'Step 2- Activity Inventory'!G77))</f>
        <v/>
      </c>
      <c r="G74" s="89" t="str">
        <f>IF('Step 2- Activity Inventory'!D77="","",'Step 2- Activity Inventory'!D77)</f>
        <v/>
      </c>
      <c r="H74" s="90"/>
      <c r="I74" s="24"/>
      <c r="J74" s="24"/>
      <c r="K74" s="91"/>
      <c r="L74" s="92" t="str">
        <f>IF(OR('Step 2- Activity Inventory'!O77=6,AND('Step 2- Activity Inventory'!O77=5,E74="Genius")),'Step 1- Hrly Rate Calc'!$D$18,"")</f>
        <v/>
      </c>
      <c r="M74" s="93" t="str">
        <f t="shared" si="3"/>
        <v/>
      </c>
      <c r="N74" s="93" t="str">
        <f>IF(L74="","",IF(IFERROR((G74/60)*M74*2*'Step 1- Hrly Rate Calc'!$D$14,"")&lt;0,"N/A",IFERROR((G74/60)*M74*2*'Step 1- Hrly Rate Calc'!$D$14,"")))</f>
        <v/>
      </c>
      <c r="O74" s="77" t="str">
        <f t="shared" si="4"/>
        <v/>
      </c>
      <c r="P74" s="77" t="str">
        <f t="shared" si="5"/>
        <v/>
      </c>
    </row>
    <row r="75" spans="2:16" s="61" customFormat="1" ht="34" customHeight="1" x14ac:dyDescent="0.2">
      <c r="B75" s="77" t="str">
        <f>IF('Step 2- Activity Inventory'!B78="","",'Step 2- Activity Inventory'!B78)</f>
        <v/>
      </c>
      <c r="C75" s="77" t="str">
        <f>IF('Step 2- Activity Inventory'!C78="","",'Step 2- Activity Inventory'!C78)</f>
        <v/>
      </c>
      <c r="D75" s="88" t="str">
        <f>IF('Step 2- Activity Inventory'!E78="","",'Step 2- Activity Inventory'!E78)</f>
        <v/>
      </c>
      <c r="E75" s="88" t="str">
        <f>IF('Step 2- Activity Inventory'!F78="","",'Step 2- Activity Inventory'!F78)</f>
        <v/>
      </c>
      <c r="F75" s="88" t="str">
        <f>IF(E75="Genius","N/A",IF('Step 2- Activity Inventory'!G78="","",'Step 2- Activity Inventory'!G78))</f>
        <v/>
      </c>
      <c r="G75" s="89" t="str">
        <f>IF('Step 2- Activity Inventory'!D78="","",'Step 2- Activity Inventory'!D78)</f>
        <v/>
      </c>
      <c r="H75" s="90"/>
      <c r="I75" s="24"/>
      <c r="J75" s="24"/>
      <c r="K75" s="91"/>
      <c r="L75" s="92" t="str">
        <f>IF(OR('Step 2- Activity Inventory'!O78=6,AND('Step 2- Activity Inventory'!O78=5,E75="Genius")),'Step 1- Hrly Rate Calc'!$D$18,"")</f>
        <v/>
      </c>
      <c r="M75" s="93" t="str">
        <f t="shared" si="3"/>
        <v/>
      </c>
      <c r="N75" s="93" t="str">
        <f>IF(L75="","",IF(IFERROR((G75/60)*M75*2*'Step 1- Hrly Rate Calc'!$D$14,"")&lt;0,"N/A",IFERROR((G75/60)*M75*2*'Step 1- Hrly Rate Calc'!$D$14,"")))</f>
        <v/>
      </c>
      <c r="O75" s="77" t="str">
        <f t="shared" si="4"/>
        <v/>
      </c>
      <c r="P75" s="77" t="str">
        <f t="shared" si="5"/>
        <v/>
      </c>
    </row>
    <row r="76" spans="2:16" s="61" customFormat="1" ht="34" customHeight="1" x14ac:dyDescent="0.2">
      <c r="B76" s="77" t="str">
        <f>IF('Step 2- Activity Inventory'!B79="","",'Step 2- Activity Inventory'!B79)</f>
        <v/>
      </c>
      <c r="C76" s="77" t="str">
        <f>IF('Step 2- Activity Inventory'!C79="","",'Step 2- Activity Inventory'!C79)</f>
        <v/>
      </c>
      <c r="D76" s="88" t="str">
        <f>IF('Step 2- Activity Inventory'!E79="","",'Step 2- Activity Inventory'!E79)</f>
        <v/>
      </c>
      <c r="E76" s="88" t="str">
        <f>IF('Step 2- Activity Inventory'!F79="","",'Step 2- Activity Inventory'!F79)</f>
        <v/>
      </c>
      <c r="F76" s="88" t="str">
        <f>IF(E76="Genius","N/A",IF('Step 2- Activity Inventory'!G79="","",'Step 2- Activity Inventory'!G79))</f>
        <v/>
      </c>
      <c r="G76" s="89" t="str">
        <f>IF('Step 2- Activity Inventory'!D79="","",'Step 2- Activity Inventory'!D79)</f>
        <v/>
      </c>
      <c r="H76" s="90"/>
      <c r="I76" s="24"/>
      <c r="J76" s="24"/>
      <c r="K76" s="91"/>
      <c r="L76" s="92" t="str">
        <f>IF(OR('Step 2- Activity Inventory'!O79=6,AND('Step 2- Activity Inventory'!O79=5,E76="Genius")),'Step 1- Hrly Rate Calc'!$D$18,"")</f>
        <v/>
      </c>
      <c r="M76" s="93" t="str">
        <f t="shared" si="3"/>
        <v/>
      </c>
      <c r="N76" s="93" t="str">
        <f>IF(L76="","",IF(IFERROR((G76/60)*M76*2*'Step 1- Hrly Rate Calc'!$D$14,"")&lt;0,"N/A",IFERROR((G76/60)*M76*2*'Step 1- Hrly Rate Calc'!$D$14,"")))</f>
        <v/>
      </c>
      <c r="O76" s="77" t="str">
        <f t="shared" si="4"/>
        <v/>
      </c>
      <c r="P76" s="77" t="str">
        <f t="shared" si="5"/>
        <v/>
      </c>
    </row>
    <row r="77" spans="2:16" s="61" customFormat="1" ht="34" customHeight="1" x14ac:dyDescent="0.2">
      <c r="B77" s="77" t="str">
        <f>IF('Step 2- Activity Inventory'!B80="","",'Step 2- Activity Inventory'!B80)</f>
        <v/>
      </c>
      <c r="C77" s="77" t="str">
        <f>IF('Step 2- Activity Inventory'!C80="","",'Step 2- Activity Inventory'!C80)</f>
        <v/>
      </c>
      <c r="D77" s="88" t="str">
        <f>IF('Step 2- Activity Inventory'!E80="","",'Step 2- Activity Inventory'!E80)</f>
        <v/>
      </c>
      <c r="E77" s="88" t="str">
        <f>IF('Step 2- Activity Inventory'!F80="","",'Step 2- Activity Inventory'!F80)</f>
        <v/>
      </c>
      <c r="F77" s="88" t="str">
        <f>IF(E77="Genius","N/A",IF('Step 2- Activity Inventory'!G80="","",'Step 2- Activity Inventory'!G80))</f>
        <v/>
      </c>
      <c r="G77" s="89" t="str">
        <f>IF('Step 2- Activity Inventory'!D80="","",'Step 2- Activity Inventory'!D80)</f>
        <v/>
      </c>
      <c r="H77" s="90"/>
      <c r="I77" s="24"/>
      <c r="J77" s="24"/>
      <c r="K77" s="91"/>
      <c r="L77" s="92" t="str">
        <f>IF(OR('Step 2- Activity Inventory'!O80=6,AND('Step 2- Activity Inventory'!O80=5,E77="Genius")),'Step 1- Hrly Rate Calc'!$D$18,"")</f>
        <v/>
      </c>
      <c r="M77" s="93" t="str">
        <f t="shared" si="3"/>
        <v/>
      </c>
      <c r="N77" s="93" t="str">
        <f>IF(L77="","",IF(IFERROR((G77/60)*M77*2*'Step 1- Hrly Rate Calc'!$D$14,"")&lt;0,"N/A",IFERROR((G77/60)*M77*2*'Step 1- Hrly Rate Calc'!$D$14,"")))</f>
        <v/>
      </c>
      <c r="O77" s="77" t="str">
        <f t="shared" si="4"/>
        <v/>
      </c>
      <c r="P77" s="77" t="str">
        <f t="shared" si="5"/>
        <v/>
      </c>
    </row>
    <row r="78" spans="2:16" s="61" customFormat="1" ht="34" customHeight="1" x14ac:dyDescent="0.2">
      <c r="B78" s="77" t="str">
        <f>IF('Step 2- Activity Inventory'!B81="","",'Step 2- Activity Inventory'!B81)</f>
        <v/>
      </c>
      <c r="C78" s="77" t="str">
        <f>IF('Step 2- Activity Inventory'!C81="","",'Step 2- Activity Inventory'!C81)</f>
        <v/>
      </c>
      <c r="D78" s="88" t="str">
        <f>IF('Step 2- Activity Inventory'!E81="","",'Step 2- Activity Inventory'!E81)</f>
        <v/>
      </c>
      <c r="E78" s="88" t="str">
        <f>IF('Step 2- Activity Inventory'!F81="","",'Step 2- Activity Inventory'!F81)</f>
        <v/>
      </c>
      <c r="F78" s="88" t="str">
        <f>IF(E78="Genius","N/A",IF('Step 2- Activity Inventory'!G81="","",'Step 2- Activity Inventory'!G81))</f>
        <v/>
      </c>
      <c r="G78" s="89" t="str">
        <f>IF('Step 2- Activity Inventory'!D81="","",'Step 2- Activity Inventory'!D81)</f>
        <v/>
      </c>
      <c r="H78" s="90"/>
      <c r="I78" s="24"/>
      <c r="J78" s="24"/>
      <c r="K78" s="91"/>
      <c r="L78" s="92" t="str">
        <f>IF(OR('Step 2- Activity Inventory'!O81=6,AND('Step 2- Activity Inventory'!O81=5,E78="Genius")),'Step 1- Hrly Rate Calc'!$D$18,"")</f>
        <v/>
      </c>
      <c r="M78" s="93" t="str">
        <f t="shared" si="3"/>
        <v/>
      </c>
      <c r="N78" s="93" t="str">
        <f>IF(L78="","",IF(IFERROR((G78/60)*M78*2*'Step 1- Hrly Rate Calc'!$D$14,"")&lt;0,"N/A",IFERROR((G78/60)*M78*2*'Step 1- Hrly Rate Calc'!$D$14,"")))</f>
        <v/>
      </c>
      <c r="O78" s="77" t="str">
        <f t="shared" si="4"/>
        <v/>
      </c>
      <c r="P78" s="77" t="str">
        <f t="shared" si="5"/>
        <v/>
      </c>
    </row>
    <row r="79" spans="2:16" s="61" customFormat="1" ht="34" customHeight="1" x14ac:dyDescent="0.2">
      <c r="B79" s="77" t="str">
        <f>IF('Step 2- Activity Inventory'!B82="","",'Step 2- Activity Inventory'!B82)</f>
        <v/>
      </c>
      <c r="C79" s="77" t="str">
        <f>IF('Step 2- Activity Inventory'!C82="","",'Step 2- Activity Inventory'!C82)</f>
        <v/>
      </c>
      <c r="D79" s="88" t="str">
        <f>IF('Step 2- Activity Inventory'!E82="","",'Step 2- Activity Inventory'!E82)</f>
        <v/>
      </c>
      <c r="E79" s="88" t="str">
        <f>IF('Step 2- Activity Inventory'!F82="","",'Step 2- Activity Inventory'!F82)</f>
        <v/>
      </c>
      <c r="F79" s="88" t="str">
        <f>IF(E79="Genius","N/A",IF('Step 2- Activity Inventory'!G82="","",'Step 2- Activity Inventory'!G82))</f>
        <v/>
      </c>
      <c r="G79" s="89" t="str">
        <f>IF('Step 2- Activity Inventory'!D82="","",'Step 2- Activity Inventory'!D82)</f>
        <v/>
      </c>
      <c r="H79" s="90"/>
      <c r="I79" s="24"/>
      <c r="J79" s="24"/>
      <c r="K79" s="91"/>
      <c r="L79" s="92" t="str">
        <f>IF(OR('Step 2- Activity Inventory'!O82=6,AND('Step 2- Activity Inventory'!O82=5,E79="Genius")),'Step 1- Hrly Rate Calc'!$D$18,"")</f>
        <v/>
      </c>
      <c r="M79" s="93" t="str">
        <f t="shared" si="3"/>
        <v/>
      </c>
      <c r="N79" s="93" t="str">
        <f>IF(L79="","",IF(IFERROR((G79/60)*M79*2*'Step 1- Hrly Rate Calc'!$D$14,"")&lt;0,"N/A",IFERROR((G79/60)*M79*2*'Step 1- Hrly Rate Calc'!$D$14,"")))</f>
        <v/>
      </c>
      <c r="O79" s="77" t="str">
        <f t="shared" si="4"/>
        <v/>
      </c>
      <c r="P79" s="77" t="str">
        <f t="shared" si="5"/>
        <v/>
      </c>
    </row>
    <row r="80" spans="2:16" s="61" customFormat="1" ht="34" customHeight="1" x14ac:dyDescent="0.2">
      <c r="B80" s="77" t="str">
        <f>IF('Step 2- Activity Inventory'!B83="","",'Step 2- Activity Inventory'!B83)</f>
        <v/>
      </c>
      <c r="C80" s="77" t="str">
        <f>IF('Step 2- Activity Inventory'!C83="","",'Step 2- Activity Inventory'!C83)</f>
        <v/>
      </c>
      <c r="D80" s="88" t="str">
        <f>IF('Step 2- Activity Inventory'!E83="","",'Step 2- Activity Inventory'!E83)</f>
        <v/>
      </c>
      <c r="E80" s="88" t="str">
        <f>IF('Step 2- Activity Inventory'!F83="","",'Step 2- Activity Inventory'!F83)</f>
        <v/>
      </c>
      <c r="F80" s="88" t="str">
        <f>IF(E80="Genius","N/A",IF('Step 2- Activity Inventory'!G83="","",'Step 2- Activity Inventory'!G83))</f>
        <v/>
      </c>
      <c r="G80" s="89" t="str">
        <f>IF('Step 2- Activity Inventory'!D83="","",'Step 2- Activity Inventory'!D83)</f>
        <v/>
      </c>
      <c r="H80" s="90"/>
      <c r="I80" s="24"/>
      <c r="J80" s="24"/>
      <c r="K80" s="91"/>
      <c r="L80" s="92" t="str">
        <f>IF(OR('Step 2- Activity Inventory'!O83=6,AND('Step 2- Activity Inventory'!O83=5,E80="Genius")),'Step 1- Hrly Rate Calc'!$D$18,"")</f>
        <v/>
      </c>
      <c r="M80" s="93" t="str">
        <f t="shared" si="3"/>
        <v/>
      </c>
      <c r="N80" s="93" t="str">
        <f>IF(L80="","",IF(IFERROR((G80/60)*M80*2*'Step 1- Hrly Rate Calc'!$D$14,"")&lt;0,"N/A",IFERROR((G80/60)*M80*2*'Step 1- Hrly Rate Calc'!$D$14,"")))</f>
        <v/>
      </c>
      <c r="O80" s="77" t="str">
        <f t="shared" si="4"/>
        <v/>
      </c>
      <c r="P80" s="77" t="str">
        <f t="shared" si="5"/>
        <v/>
      </c>
    </row>
    <row r="81" spans="2:16" s="61" customFormat="1" ht="34" customHeight="1" x14ac:dyDescent="0.2">
      <c r="B81" s="77" t="str">
        <f>IF('Step 2- Activity Inventory'!B84="","",'Step 2- Activity Inventory'!B84)</f>
        <v/>
      </c>
      <c r="C81" s="77" t="str">
        <f>IF('Step 2- Activity Inventory'!C84="","",'Step 2- Activity Inventory'!C84)</f>
        <v/>
      </c>
      <c r="D81" s="88" t="str">
        <f>IF('Step 2- Activity Inventory'!E84="","",'Step 2- Activity Inventory'!E84)</f>
        <v/>
      </c>
      <c r="E81" s="88" t="str">
        <f>IF('Step 2- Activity Inventory'!F84="","",'Step 2- Activity Inventory'!F84)</f>
        <v/>
      </c>
      <c r="F81" s="88" t="str">
        <f>IF(E81="Genius","N/A",IF('Step 2- Activity Inventory'!G84="","",'Step 2- Activity Inventory'!G84))</f>
        <v/>
      </c>
      <c r="G81" s="89" t="str">
        <f>IF('Step 2- Activity Inventory'!D84="","",'Step 2- Activity Inventory'!D84)</f>
        <v/>
      </c>
      <c r="H81" s="90"/>
      <c r="I81" s="24"/>
      <c r="J81" s="24"/>
      <c r="K81" s="91"/>
      <c r="L81" s="92" t="str">
        <f>IF(OR('Step 2- Activity Inventory'!O84=6,AND('Step 2- Activity Inventory'!O84=5,E81="Genius")),'Step 1- Hrly Rate Calc'!$D$18,"")</f>
        <v/>
      </c>
      <c r="M81" s="93" t="str">
        <f t="shared" si="3"/>
        <v/>
      </c>
      <c r="N81" s="93" t="str">
        <f>IF(L81="","",IF(IFERROR((G81/60)*M81*2*'Step 1- Hrly Rate Calc'!$D$14,"")&lt;0,"N/A",IFERROR((G81/60)*M81*2*'Step 1- Hrly Rate Calc'!$D$14,"")))</f>
        <v/>
      </c>
      <c r="O81" s="77" t="str">
        <f t="shared" si="4"/>
        <v/>
      </c>
      <c r="P81" s="77" t="str">
        <f t="shared" si="5"/>
        <v/>
      </c>
    </row>
    <row r="82" spans="2:16" s="61" customFormat="1" ht="34" customHeight="1" x14ac:dyDescent="0.2">
      <c r="B82" s="77" t="str">
        <f>IF('Step 2- Activity Inventory'!B85="","",'Step 2- Activity Inventory'!B85)</f>
        <v/>
      </c>
      <c r="C82" s="77" t="str">
        <f>IF('Step 2- Activity Inventory'!C85="","",'Step 2- Activity Inventory'!C85)</f>
        <v/>
      </c>
      <c r="D82" s="88" t="str">
        <f>IF('Step 2- Activity Inventory'!E85="","",'Step 2- Activity Inventory'!E85)</f>
        <v/>
      </c>
      <c r="E82" s="88" t="str">
        <f>IF('Step 2- Activity Inventory'!F85="","",'Step 2- Activity Inventory'!F85)</f>
        <v/>
      </c>
      <c r="F82" s="88" t="str">
        <f>IF(E82="Genius","N/A",IF('Step 2- Activity Inventory'!G85="","",'Step 2- Activity Inventory'!G85))</f>
        <v/>
      </c>
      <c r="G82" s="89" t="str">
        <f>IF('Step 2- Activity Inventory'!D85="","",'Step 2- Activity Inventory'!D85)</f>
        <v/>
      </c>
      <c r="H82" s="90"/>
      <c r="I82" s="24"/>
      <c r="J82" s="24"/>
      <c r="K82" s="91"/>
      <c r="L82" s="92" t="str">
        <f>IF(OR('Step 2- Activity Inventory'!O85=6,AND('Step 2- Activity Inventory'!O85=5,E82="Genius")),'Step 1- Hrly Rate Calc'!$D$18,"")</f>
        <v/>
      </c>
      <c r="M82" s="93" t="str">
        <f t="shared" si="3"/>
        <v/>
      </c>
      <c r="N82" s="93" t="str">
        <f>IF(L82="","",IF(IFERROR((G82/60)*M82*2*'Step 1- Hrly Rate Calc'!$D$14,"")&lt;0,"N/A",IFERROR((G82/60)*M82*2*'Step 1- Hrly Rate Calc'!$D$14,"")))</f>
        <v/>
      </c>
      <c r="O82" s="77" t="str">
        <f t="shared" si="4"/>
        <v/>
      </c>
      <c r="P82" s="77" t="str">
        <f t="shared" si="5"/>
        <v/>
      </c>
    </row>
    <row r="83" spans="2:16" s="61" customFormat="1" ht="34" customHeight="1" x14ac:dyDescent="0.2">
      <c r="B83" s="77" t="str">
        <f>IF('Step 2- Activity Inventory'!B86="","",'Step 2- Activity Inventory'!B86)</f>
        <v/>
      </c>
      <c r="C83" s="77" t="str">
        <f>IF('Step 2- Activity Inventory'!C86="","",'Step 2- Activity Inventory'!C86)</f>
        <v/>
      </c>
      <c r="D83" s="88" t="str">
        <f>IF('Step 2- Activity Inventory'!E86="","",'Step 2- Activity Inventory'!E86)</f>
        <v/>
      </c>
      <c r="E83" s="88" t="str">
        <f>IF('Step 2- Activity Inventory'!F86="","",'Step 2- Activity Inventory'!F86)</f>
        <v/>
      </c>
      <c r="F83" s="88" t="str">
        <f>IF(E83="Genius","N/A",IF('Step 2- Activity Inventory'!G86="","",'Step 2- Activity Inventory'!G86))</f>
        <v/>
      </c>
      <c r="G83" s="89" t="str">
        <f>IF('Step 2- Activity Inventory'!D86="","",'Step 2- Activity Inventory'!D86)</f>
        <v/>
      </c>
      <c r="H83" s="90"/>
      <c r="I83" s="24"/>
      <c r="J83" s="24"/>
      <c r="K83" s="91"/>
      <c r="L83" s="92" t="str">
        <f>IF(OR('Step 2- Activity Inventory'!O86=6,AND('Step 2- Activity Inventory'!O86=5,E83="Genius")),'Step 1- Hrly Rate Calc'!$D$18,"")</f>
        <v/>
      </c>
      <c r="M83" s="93" t="str">
        <f t="shared" si="3"/>
        <v/>
      </c>
      <c r="N83" s="93" t="str">
        <f>IF(L83="","",IF(IFERROR((G83/60)*M83*2*'Step 1- Hrly Rate Calc'!$D$14,"")&lt;0,"N/A",IFERROR((G83/60)*M83*2*'Step 1- Hrly Rate Calc'!$D$14,"")))</f>
        <v/>
      </c>
      <c r="O83" s="77" t="str">
        <f t="shared" si="4"/>
        <v/>
      </c>
      <c r="P83" s="77" t="str">
        <f t="shared" si="5"/>
        <v/>
      </c>
    </row>
    <row r="84" spans="2:16" s="61" customFormat="1" ht="34" customHeight="1" x14ac:dyDescent="0.2">
      <c r="B84" s="77" t="str">
        <f>IF('Step 2- Activity Inventory'!B87="","",'Step 2- Activity Inventory'!B87)</f>
        <v/>
      </c>
      <c r="C84" s="77" t="str">
        <f>IF('Step 2- Activity Inventory'!C87="","",'Step 2- Activity Inventory'!C87)</f>
        <v/>
      </c>
      <c r="D84" s="88" t="str">
        <f>IF('Step 2- Activity Inventory'!E87="","",'Step 2- Activity Inventory'!E87)</f>
        <v/>
      </c>
      <c r="E84" s="88" t="str">
        <f>IF('Step 2- Activity Inventory'!F87="","",'Step 2- Activity Inventory'!F87)</f>
        <v/>
      </c>
      <c r="F84" s="88" t="str">
        <f>IF(E84="Genius","N/A",IF('Step 2- Activity Inventory'!G87="","",'Step 2- Activity Inventory'!G87))</f>
        <v/>
      </c>
      <c r="G84" s="89" t="str">
        <f>IF('Step 2- Activity Inventory'!D87="","",'Step 2- Activity Inventory'!D87)</f>
        <v/>
      </c>
      <c r="H84" s="90"/>
      <c r="I84" s="24"/>
      <c r="J84" s="24"/>
      <c r="K84" s="91"/>
      <c r="L84" s="92" t="str">
        <f>IF(OR('Step 2- Activity Inventory'!O87=6,AND('Step 2- Activity Inventory'!O87=5,E84="Genius")),'Step 1- Hrly Rate Calc'!$D$18,"")</f>
        <v/>
      </c>
      <c r="M84" s="93" t="str">
        <f t="shared" si="3"/>
        <v/>
      </c>
      <c r="N84" s="93" t="str">
        <f>IF(L84="","",IF(IFERROR((G84/60)*M84*2*'Step 1- Hrly Rate Calc'!$D$14,"")&lt;0,"N/A",IFERROR((G84/60)*M84*2*'Step 1- Hrly Rate Calc'!$D$14,"")))</f>
        <v/>
      </c>
      <c r="O84" s="77" t="str">
        <f t="shared" si="4"/>
        <v/>
      </c>
      <c r="P84" s="77" t="str">
        <f t="shared" si="5"/>
        <v/>
      </c>
    </row>
    <row r="85" spans="2:16" s="61" customFormat="1" ht="34" customHeight="1" x14ac:dyDescent="0.2">
      <c r="B85" s="77" t="str">
        <f>IF('Step 2- Activity Inventory'!B88="","",'Step 2- Activity Inventory'!B88)</f>
        <v/>
      </c>
      <c r="C85" s="77" t="str">
        <f>IF('Step 2- Activity Inventory'!C88="","",'Step 2- Activity Inventory'!C88)</f>
        <v/>
      </c>
      <c r="D85" s="88" t="str">
        <f>IF('Step 2- Activity Inventory'!E88="","",'Step 2- Activity Inventory'!E88)</f>
        <v/>
      </c>
      <c r="E85" s="88" t="str">
        <f>IF('Step 2- Activity Inventory'!F88="","",'Step 2- Activity Inventory'!F88)</f>
        <v/>
      </c>
      <c r="F85" s="88" t="str">
        <f>IF(E85="Genius","N/A",IF('Step 2- Activity Inventory'!G88="","",'Step 2- Activity Inventory'!G88))</f>
        <v/>
      </c>
      <c r="G85" s="89" t="str">
        <f>IF('Step 2- Activity Inventory'!D88="","",'Step 2- Activity Inventory'!D88)</f>
        <v/>
      </c>
      <c r="H85" s="90"/>
      <c r="I85" s="24"/>
      <c r="J85" s="24"/>
      <c r="K85" s="91"/>
      <c r="L85" s="92" t="str">
        <f>IF(OR('Step 2- Activity Inventory'!O88=6,AND('Step 2- Activity Inventory'!O88=5,E85="Genius")),'Step 1- Hrly Rate Calc'!$D$18,"")</f>
        <v/>
      </c>
      <c r="M85" s="93" t="str">
        <f t="shared" si="3"/>
        <v/>
      </c>
      <c r="N85" s="93" t="str">
        <f>IF(L85="","",IF(IFERROR((G85/60)*M85*2*'Step 1- Hrly Rate Calc'!$D$14,"")&lt;0,"N/A",IFERROR((G85/60)*M85*2*'Step 1- Hrly Rate Calc'!$D$14,"")))</f>
        <v/>
      </c>
      <c r="O85" s="77" t="str">
        <f t="shared" si="4"/>
        <v/>
      </c>
      <c r="P85" s="77" t="str">
        <f t="shared" si="5"/>
        <v/>
      </c>
    </row>
    <row r="86" spans="2:16" s="61" customFormat="1" ht="34" customHeight="1" x14ac:dyDescent="0.2">
      <c r="B86" s="77" t="str">
        <f>IF('Step 2- Activity Inventory'!B89="","",'Step 2- Activity Inventory'!B89)</f>
        <v/>
      </c>
      <c r="C86" s="77" t="str">
        <f>IF('Step 2- Activity Inventory'!C89="","",'Step 2- Activity Inventory'!C89)</f>
        <v/>
      </c>
      <c r="D86" s="88" t="str">
        <f>IF('Step 2- Activity Inventory'!E89="","",'Step 2- Activity Inventory'!E89)</f>
        <v/>
      </c>
      <c r="E86" s="88" t="str">
        <f>IF('Step 2- Activity Inventory'!F89="","",'Step 2- Activity Inventory'!F89)</f>
        <v/>
      </c>
      <c r="F86" s="88" t="str">
        <f>IF(E86="Genius","N/A",IF('Step 2- Activity Inventory'!G89="","",'Step 2- Activity Inventory'!G89))</f>
        <v/>
      </c>
      <c r="G86" s="89" t="str">
        <f>IF('Step 2- Activity Inventory'!D89="","",'Step 2- Activity Inventory'!D89)</f>
        <v/>
      </c>
      <c r="H86" s="90"/>
      <c r="I86" s="24"/>
      <c r="J86" s="24"/>
      <c r="K86" s="91"/>
      <c r="L86" s="92" t="str">
        <f>IF(OR('Step 2- Activity Inventory'!O89=6,AND('Step 2- Activity Inventory'!O89=5,E86="Genius")),'Step 1- Hrly Rate Calc'!$D$18,"")</f>
        <v/>
      </c>
      <c r="M86" s="93" t="str">
        <f t="shared" si="3"/>
        <v/>
      </c>
      <c r="N86" s="93" t="str">
        <f>IF(L86="","",IF(IFERROR((G86/60)*M86*2*'Step 1- Hrly Rate Calc'!$D$14,"")&lt;0,"N/A",IFERROR((G86/60)*M86*2*'Step 1- Hrly Rate Calc'!$D$14,"")))</f>
        <v/>
      </c>
      <c r="O86" s="77" t="str">
        <f t="shared" si="4"/>
        <v/>
      </c>
      <c r="P86" s="77" t="str">
        <f t="shared" si="5"/>
        <v/>
      </c>
    </row>
    <row r="87" spans="2:16" s="61" customFormat="1" ht="34" customHeight="1" x14ac:dyDescent="0.2">
      <c r="B87" s="77" t="str">
        <f>IF('Step 2- Activity Inventory'!B90="","",'Step 2- Activity Inventory'!B90)</f>
        <v/>
      </c>
      <c r="C87" s="77" t="str">
        <f>IF('Step 2- Activity Inventory'!C90="","",'Step 2- Activity Inventory'!C90)</f>
        <v/>
      </c>
      <c r="D87" s="88" t="str">
        <f>IF('Step 2- Activity Inventory'!E90="","",'Step 2- Activity Inventory'!E90)</f>
        <v/>
      </c>
      <c r="E87" s="88" t="str">
        <f>IF('Step 2- Activity Inventory'!F90="","",'Step 2- Activity Inventory'!F90)</f>
        <v/>
      </c>
      <c r="F87" s="88" t="str">
        <f>IF(E87="Genius","N/A",IF('Step 2- Activity Inventory'!G90="","",'Step 2- Activity Inventory'!G90))</f>
        <v/>
      </c>
      <c r="G87" s="89" t="str">
        <f>IF('Step 2- Activity Inventory'!D90="","",'Step 2- Activity Inventory'!D90)</f>
        <v/>
      </c>
      <c r="H87" s="90"/>
      <c r="I87" s="24"/>
      <c r="J87" s="24"/>
      <c r="K87" s="91"/>
      <c r="L87" s="92" t="str">
        <f>IF(OR('Step 2- Activity Inventory'!O90=6,AND('Step 2- Activity Inventory'!O90=5,E87="Genius")),'Step 1- Hrly Rate Calc'!$D$18,"")</f>
        <v/>
      </c>
      <c r="M87" s="93" t="str">
        <f t="shared" si="3"/>
        <v/>
      </c>
      <c r="N87" s="93" t="str">
        <f>IF(L87="","",IF(IFERROR((G87/60)*M87*2*'Step 1- Hrly Rate Calc'!$D$14,"")&lt;0,"N/A",IFERROR((G87/60)*M87*2*'Step 1- Hrly Rate Calc'!$D$14,"")))</f>
        <v/>
      </c>
      <c r="O87" s="77" t="str">
        <f t="shared" si="4"/>
        <v/>
      </c>
      <c r="P87" s="77" t="str">
        <f t="shared" si="5"/>
        <v/>
      </c>
    </row>
    <row r="88" spans="2:16" s="61" customFormat="1" ht="34" customHeight="1" x14ac:dyDescent="0.2">
      <c r="B88" s="77" t="str">
        <f>IF('Step 2- Activity Inventory'!B91="","",'Step 2- Activity Inventory'!B91)</f>
        <v/>
      </c>
      <c r="C88" s="77" t="str">
        <f>IF('Step 2- Activity Inventory'!C91="","",'Step 2- Activity Inventory'!C91)</f>
        <v/>
      </c>
      <c r="D88" s="88" t="str">
        <f>IF('Step 2- Activity Inventory'!E91="","",'Step 2- Activity Inventory'!E91)</f>
        <v/>
      </c>
      <c r="E88" s="88" t="str">
        <f>IF('Step 2- Activity Inventory'!F91="","",'Step 2- Activity Inventory'!F91)</f>
        <v/>
      </c>
      <c r="F88" s="88" t="str">
        <f>IF(E88="Genius","N/A",IF('Step 2- Activity Inventory'!G91="","",'Step 2- Activity Inventory'!G91))</f>
        <v/>
      </c>
      <c r="G88" s="89" t="str">
        <f>IF('Step 2- Activity Inventory'!D91="","",'Step 2- Activity Inventory'!D91)</f>
        <v/>
      </c>
      <c r="H88" s="90"/>
      <c r="I88" s="24"/>
      <c r="J88" s="24"/>
      <c r="K88" s="91"/>
      <c r="L88" s="92" t="str">
        <f>IF(OR('Step 2- Activity Inventory'!O91=6,AND('Step 2- Activity Inventory'!O91=5,E88="Genius")),'Step 1- Hrly Rate Calc'!$D$18,"")</f>
        <v/>
      </c>
      <c r="M88" s="93" t="str">
        <f t="shared" si="3"/>
        <v/>
      </c>
      <c r="N88" s="93" t="str">
        <f>IF(L88="","",IF(IFERROR((G88/60)*M88*2*'Step 1- Hrly Rate Calc'!$D$14,"")&lt;0,"N/A",IFERROR((G88/60)*M88*2*'Step 1- Hrly Rate Calc'!$D$14,"")))</f>
        <v/>
      </c>
      <c r="O88" s="77" t="str">
        <f t="shared" si="4"/>
        <v/>
      </c>
      <c r="P88" s="77" t="str">
        <f t="shared" si="5"/>
        <v/>
      </c>
    </row>
    <row r="89" spans="2:16" s="61" customFormat="1" ht="34" customHeight="1" x14ac:dyDescent="0.2">
      <c r="B89" s="77" t="str">
        <f>IF('Step 2- Activity Inventory'!B92="","",'Step 2- Activity Inventory'!B92)</f>
        <v/>
      </c>
      <c r="C89" s="77" t="str">
        <f>IF('Step 2- Activity Inventory'!C92="","",'Step 2- Activity Inventory'!C92)</f>
        <v/>
      </c>
      <c r="D89" s="88" t="str">
        <f>IF('Step 2- Activity Inventory'!E92="","",'Step 2- Activity Inventory'!E92)</f>
        <v/>
      </c>
      <c r="E89" s="88" t="str">
        <f>IF('Step 2- Activity Inventory'!F92="","",'Step 2- Activity Inventory'!F92)</f>
        <v/>
      </c>
      <c r="F89" s="88" t="str">
        <f>IF(E89="Genius","N/A",IF('Step 2- Activity Inventory'!G92="","",'Step 2- Activity Inventory'!G92))</f>
        <v/>
      </c>
      <c r="G89" s="89" t="str">
        <f>IF('Step 2- Activity Inventory'!D92="","",'Step 2- Activity Inventory'!D92)</f>
        <v/>
      </c>
      <c r="H89" s="90"/>
      <c r="I89" s="24"/>
      <c r="J89" s="24"/>
      <c r="K89" s="91"/>
      <c r="L89" s="92" t="str">
        <f>IF(OR('Step 2- Activity Inventory'!O92=6,AND('Step 2- Activity Inventory'!O92=5,E89="Genius")),'Step 1- Hrly Rate Calc'!$D$18,"")</f>
        <v/>
      </c>
      <c r="M89" s="93" t="str">
        <f t="shared" si="3"/>
        <v/>
      </c>
      <c r="N89" s="93" t="str">
        <f>IF(L89="","",IF(IFERROR((G89/60)*M89*2*'Step 1- Hrly Rate Calc'!$D$14,"")&lt;0,"N/A",IFERROR((G89/60)*M89*2*'Step 1- Hrly Rate Calc'!$D$14,"")))</f>
        <v/>
      </c>
      <c r="O89" s="77" t="str">
        <f t="shared" si="4"/>
        <v/>
      </c>
      <c r="P89" s="77" t="str">
        <f t="shared" si="5"/>
        <v/>
      </c>
    </row>
    <row r="90" spans="2:16" s="61" customFormat="1" ht="34" customHeight="1" x14ac:dyDescent="0.2">
      <c r="B90" s="77" t="str">
        <f>IF('Step 2- Activity Inventory'!B93="","",'Step 2- Activity Inventory'!B93)</f>
        <v/>
      </c>
      <c r="C90" s="77" t="str">
        <f>IF('Step 2- Activity Inventory'!C93="","",'Step 2- Activity Inventory'!C93)</f>
        <v/>
      </c>
      <c r="D90" s="88" t="str">
        <f>IF('Step 2- Activity Inventory'!E93="","",'Step 2- Activity Inventory'!E93)</f>
        <v/>
      </c>
      <c r="E90" s="88" t="str">
        <f>IF('Step 2- Activity Inventory'!F93="","",'Step 2- Activity Inventory'!F93)</f>
        <v/>
      </c>
      <c r="F90" s="88" t="str">
        <f>IF(E90="Genius","N/A",IF('Step 2- Activity Inventory'!G93="","",'Step 2- Activity Inventory'!G93))</f>
        <v/>
      </c>
      <c r="G90" s="89" t="str">
        <f>IF('Step 2- Activity Inventory'!D93="","",'Step 2- Activity Inventory'!D93)</f>
        <v/>
      </c>
      <c r="H90" s="90"/>
      <c r="I90" s="24"/>
      <c r="J90" s="24"/>
      <c r="K90" s="91"/>
      <c r="L90" s="92" t="str">
        <f>IF(OR('Step 2- Activity Inventory'!O93=6,AND('Step 2- Activity Inventory'!O93=5,E90="Genius")),'Step 1- Hrly Rate Calc'!$D$18,"")</f>
        <v/>
      </c>
      <c r="M90" s="93" t="str">
        <f t="shared" si="3"/>
        <v/>
      </c>
      <c r="N90" s="93" t="str">
        <f>IF(L90="","",IF(IFERROR((G90/60)*M90*2*'Step 1- Hrly Rate Calc'!$D$14,"")&lt;0,"N/A",IFERROR((G90/60)*M90*2*'Step 1- Hrly Rate Calc'!$D$14,"")))</f>
        <v/>
      </c>
      <c r="O90" s="77" t="str">
        <f t="shared" si="4"/>
        <v/>
      </c>
      <c r="P90" s="77" t="str">
        <f t="shared" si="5"/>
        <v/>
      </c>
    </row>
    <row r="91" spans="2:16" s="61" customFormat="1" ht="34" customHeight="1" x14ac:dyDescent="0.2">
      <c r="B91" s="77" t="str">
        <f>IF('Step 2- Activity Inventory'!B94="","",'Step 2- Activity Inventory'!B94)</f>
        <v/>
      </c>
      <c r="C91" s="77" t="str">
        <f>IF('Step 2- Activity Inventory'!C94="","",'Step 2- Activity Inventory'!C94)</f>
        <v/>
      </c>
      <c r="D91" s="88" t="str">
        <f>IF('Step 2- Activity Inventory'!E94="","",'Step 2- Activity Inventory'!E94)</f>
        <v/>
      </c>
      <c r="E91" s="88" t="str">
        <f>IF('Step 2- Activity Inventory'!F94="","",'Step 2- Activity Inventory'!F94)</f>
        <v/>
      </c>
      <c r="F91" s="88" t="str">
        <f>IF(E91="Genius","N/A",IF('Step 2- Activity Inventory'!G94="","",'Step 2- Activity Inventory'!G94))</f>
        <v/>
      </c>
      <c r="G91" s="89" t="str">
        <f>IF('Step 2- Activity Inventory'!D94="","",'Step 2- Activity Inventory'!D94)</f>
        <v/>
      </c>
      <c r="H91" s="90"/>
      <c r="I91" s="24"/>
      <c r="J91" s="24"/>
      <c r="K91" s="91"/>
      <c r="L91" s="92" t="str">
        <f>IF(OR('Step 2- Activity Inventory'!O94=6,AND('Step 2- Activity Inventory'!O94=5,E91="Genius")),'Step 1- Hrly Rate Calc'!$D$18,"")</f>
        <v/>
      </c>
      <c r="M91" s="93" t="str">
        <f t="shared" si="3"/>
        <v/>
      </c>
      <c r="N91" s="93" t="str">
        <f>IF(L91="","",IF(IFERROR((G91/60)*M91*2*'Step 1- Hrly Rate Calc'!$D$14,"")&lt;0,"N/A",IFERROR((G91/60)*M91*2*'Step 1- Hrly Rate Calc'!$D$14,"")))</f>
        <v/>
      </c>
      <c r="O91" s="77" t="str">
        <f t="shared" si="4"/>
        <v/>
      </c>
      <c r="P91" s="77" t="str">
        <f t="shared" si="5"/>
        <v/>
      </c>
    </row>
    <row r="92" spans="2:16" s="61" customFormat="1" ht="34" customHeight="1" x14ac:dyDescent="0.2">
      <c r="B92" s="77" t="str">
        <f>IF('Step 2- Activity Inventory'!B95="","",'Step 2- Activity Inventory'!B95)</f>
        <v/>
      </c>
      <c r="C92" s="77" t="str">
        <f>IF('Step 2- Activity Inventory'!C95="","",'Step 2- Activity Inventory'!C95)</f>
        <v/>
      </c>
      <c r="D92" s="88" t="str">
        <f>IF('Step 2- Activity Inventory'!E95="","",'Step 2- Activity Inventory'!E95)</f>
        <v/>
      </c>
      <c r="E92" s="88" t="str">
        <f>IF('Step 2- Activity Inventory'!F95="","",'Step 2- Activity Inventory'!F95)</f>
        <v/>
      </c>
      <c r="F92" s="88" t="str">
        <f>IF(E92="Genius","N/A",IF('Step 2- Activity Inventory'!G95="","",'Step 2- Activity Inventory'!G95))</f>
        <v/>
      </c>
      <c r="G92" s="89" t="str">
        <f>IF('Step 2- Activity Inventory'!D95="","",'Step 2- Activity Inventory'!D95)</f>
        <v/>
      </c>
      <c r="H92" s="90"/>
      <c r="I92" s="24"/>
      <c r="J92" s="24"/>
      <c r="K92" s="91"/>
      <c r="L92" s="92" t="str">
        <f>IF(OR('Step 2- Activity Inventory'!O95=6,AND('Step 2- Activity Inventory'!O95=5,E92="Genius")),'Step 1- Hrly Rate Calc'!$D$18,"")</f>
        <v/>
      </c>
      <c r="M92" s="93" t="str">
        <f t="shared" si="3"/>
        <v/>
      </c>
      <c r="N92" s="93" t="str">
        <f>IF(L92="","",IF(IFERROR((G92/60)*M92*2*'Step 1- Hrly Rate Calc'!$D$14,"")&lt;0,"N/A",IFERROR((G92/60)*M92*2*'Step 1- Hrly Rate Calc'!$D$14,"")))</f>
        <v/>
      </c>
      <c r="O92" s="77" t="str">
        <f t="shared" si="4"/>
        <v/>
      </c>
      <c r="P92" s="77" t="str">
        <f t="shared" si="5"/>
        <v/>
      </c>
    </row>
    <row r="93" spans="2:16" s="61" customFormat="1" ht="34" customHeight="1" x14ac:dyDescent="0.2">
      <c r="B93" s="77" t="str">
        <f>IF('Step 2- Activity Inventory'!B96="","",'Step 2- Activity Inventory'!B96)</f>
        <v/>
      </c>
      <c r="C93" s="77" t="str">
        <f>IF('Step 2- Activity Inventory'!C96="","",'Step 2- Activity Inventory'!C96)</f>
        <v/>
      </c>
      <c r="D93" s="88" t="str">
        <f>IF('Step 2- Activity Inventory'!E96="","",'Step 2- Activity Inventory'!E96)</f>
        <v/>
      </c>
      <c r="E93" s="88" t="str">
        <f>IF('Step 2- Activity Inventory'!F96="","",'Step 2- Activity Inventory'!F96)</f>
        <v/>
      </c>
      <c r="F93" s="88" t="str">
        <f>IF(E93="Genius","N/A",IF('Step 2- Activity Inventory'!G96="","",'Step 2- Activity Inventory'!G96))</f>
        <v/>
      </c>
      <c r="G93" s="89" t="str">
        <f>IF('Step 2- Activity Inventory'!D96="","",'Step 2- Activity Inventory'!D96)</f>
        <v/>
      </c>
      <c r="H93" s="90"/>
      <c r="I93" s="24"/>
      <c r="J93" s="24"/>
      <c r="K93" s="91"/>
      <c r="L93" s="92" t="str">
        <f>IF(OR('Step 2- Activity Inventory'!O96=6,AND('Step 2- Activity Inventory'!O96=5,E93="Genius")),'Step 1- Hrly Rate Calc'!$D$18,"")</f>
        <v/>
      </c>
      <c r="M93" s="93" t="str">
        <f t="shared" si="3"/>
        <v/>
      </c>
      <c r="N93" s="93" t="str">
        <f>IF(L93="","",IF(IFERROR((G93/60)*M93*2*'Step 1- Hrly Rate Calc'!$D$14,"")&lt;0,"N/A",IFERROR((G93/60)*M93*2*'Step 1- Hrly Rate Calc'!$D$14,"")))</f>
        <v/>
      </c>
      <c r="O93" s="77" t="str">
        <f t="shared" si="4"/>
        <v/>
      </c>
      <c r="P93" s="77" t="str">
        <f t="shared" si="5"/>
        <v/>
      </c>
    </row>
    <row r="94" spans="2:16" s="61" customFormat="1" ht="34" customHeight="1" x14ac:dyDescent="0.2">
      <c r="B94" s="77" t="str">
        <f>IF('Step 2- Activity Inventory'!B97="","",'Step 2- Activity Inventory'!B97)</f>
        <v/>
      </c>
      <c r="C94" s="77" t="str">
        <f>IF('Step 2- Activity Inventory'!C97="","",'Step 2- Activity Inventory'!C97)</f>
        <v/>
      </c>
      <c r="D94" s="88" t="str">
        <f>IF('Step 2- Activity Inventory'!E97="","",'Step 2- Activity Inventory'!E97)</f>
        <v/>
      </c>
      <c r="E94" s="88" t="str">
        <f>IF('Step 2- Activity Inventory'!F97="","",'Step 2- Activity Inventory'!F97)</f>
        <v/>
      </c>
      <c r="F94" s="88" t="str">
        <f>IF(E94="Genius","N/A",IF('Step 2- Activity Inventory'!G97="","",'Step 2- Activity Inventory'!G97))</f>
        <v/>
      </c>
      <c r="G94" s="89" t="str">
        <f>IF('Step 2- Activity Inventory'!D97="","",'Step 2- Activity Inventory'!D97)</f>
        <v/>
      </c>
      <c r="H94" s="90"/>
      <c r="I94" s="24"/>
      <c r="J94" s="24"/>
      <c r="K94" s="91"/>
      <c r="L94" s="92" t="str">
        <f>IF(OR('Step 2- Activity Inventory'!O97=6,AND('Step 2- Activity Inventory'!O97=5,E94="Genius")),'Step 1- Hrly Rate Calc'!$D$18,"")</f>
        <v/>
      </c>
      <c r="M94" s="93" t="str">
        <f t="shared" si="3"/>
        <v/>
      </c>
      <c r="N94" s="93" t="str">
        <f>IF(L94="","",IF(IFERROR((G94/60)*M94*2*'Step 1- Hrly Rate Calc'!$D$14,"")&lt;0,"N/A",IFERROR((G94/60)*M94*2*'Step 1- Hrly Rate Calc'!$D$14,"")))</f>
        <v/>
      </c>
      <c r="O94" s="77" t="str">
        <f t="shared" si="4"/>
        <v/>
      </c>
      <c r="P94" s="77" t="str">
        <f t="shared" si="5"/>
        <v/>
      </c>
    </row>
    <row r="95" spans="2:16" s="61" customFormat="1" ht="34" customHeight="1" x14ac:dyDescent="0.2">
      <c r="B95" s="77" t="str">
        <f>IF('Step 2- Activity Inventory'!B98="","",'Step 2- Activity Inventory'!B98)</f>
        <v/>
      </c>
      <c r="C95" s="77" t="str">
        <f>IF('Step 2- Activity Inventory'!C98="","",'Step 2- Activity Inventory'!C98)</f>
        <v/>
      </c>
      <c r="D95" s="88" t="str">
        <f>IF('Step 2- Activity Inventory'!E98="","",'Step 2- Activity Inventory'!E98)</f>
        <v/>
      </c>
      <c r="E95" s="88" t="str">
        <f>IF('Step 2- Activity Inventory'!F98="","",'Step 2- Activity Inventory'!F98)</f>
        <v/>
      </c>
      <c r="F95" s="88" t="str">
        <f>IF(E95="Genius","N/A",IF('Step 2- Activity Inventory'!G98="","",'Step 2- Activity Inventory'!G98))</f>
        <v/>
      </c>
      <c r="G95" s="89" t="str">
        <f>IF('Step 2- Activity Inventory'!D98="","",'Step 2- Activity Inventory'!D98)</f>
        <v/>
      </c>
      <c r="H95" s="90"/>
      <c r="I95" s="24"/>
      <c r="J95" s="24"/>
      <c r="K95" s="91"/>
      <c r="L95" s="92" t="str">
        <f>IF(OR('Step 2- Activity Inventory'!O98=6,AND('Step 2- Activity Inventory'!O98=5,E95="Genius")),'Step 1- Hrly Rate Calc'!$D$18,"")</f>
        <v/>
      </c>
      <c r="M95" s="93" t="str">
        <f t="shared" si="3"/>
        <v/>
      </c>
      <c r="N95" s="93" t="str">
        <f>IF(L95="","",IF(IFERROR((G95/60)*M95*2*'Step 1- Hrly Rate Calc'!$D$14,"")&lt;0,"N/A",IFERROR((G95/60)*M95*2*'Step 1- Hrly Rate Calc'!$D$14,"")))</f>
        <v/>
      </c>
      <c r="O95" s="77" t="str">
        <f t="shared" si="4"/>
        <v/>
      </c>
      <c r="P95" s="77" t="str">
        <f t="shared" si="5"/>
        <v/>
      </c>
    </row>
    <row r="96" spans="2:16" s="61" customFormat="1" ht="34" customHeight="1" x14ac:dyDescent="0.2">
      <c r="B96" s="77" t="str">
        <f>IF('Step 2- Activity Inventory'!B99="","",'Step 2- Activity Inventory'!B99)</f>
        <v/>
      </c>
      <c r="C96" s="77" t="str">
        <f>IF('Step 2- Activity Inventory'!C99="","",'Step 2- Activity Inventory'!C99)</f>
        <v/>
      </c>
      <c r="D96" s="88" t="str">
        <f>IF('Step 2- Activity Inventory'!E99="","",'Step 2- Activity Inventory'!E99)</f>
        <v/>
      </c>
      <c r="E96" s="88" t="str">
        <f>IF('Step 2- Activity Inventory'!F99="","",'Step 2- Activity Inventory'!F99)</f>
        <v/>
      </c>
      <c r="F96" s="88" t="str">
        <f>IF(E96="Genius","N/A",IF('Step 2- Activity Inventory'!G99="","",'Step 2- Activity Inventory'!G99))</f>
        <v/>
      </c>
      <c r="G96" s="89" t="str">
        <f>IF('Step 2- Activity Inventory'!D99="","",'Step 2- Activity Inventory'!D99)</f>
        <v/>
      </c>
      <c r="H96" s="90"/>
      <c r="I96" s="24"/>
      <c r="J96" s="24"/>
      <c r="K96" s="91"/>
      <c r="L96" s="92" t="str">
        <f>IF(OR('Step 2- Activity Inventory'!O99=6,AND('Step 2- Activity Inventory'!O99=5,E96="Genius")),'Step 1- Hrly Rate Calc'!$D$18,"")</f>
        <v/>
      </c>
      <c r="M96" s="93" t="str">
        <f t="shared" si="3"/>
        <v/>
      </c>
      <c r="N96" s="93" t="str">
        <f>IF(L96="","",IF(IFERROR((G96/60)*M96*2*'Step 1- Hrly Rate Calc'!$D$14,"")&lt;0,"N/A",IFERROR((G96/60)*M96*2*'Step 1- Hrly Rate Calc'!$D$14,"")))</f>
        <v/>
      </c>
      <c r="O96" s="77" t="str">
        <f t="shared" si="4"/>
        <v/>
      </c>
      <c r="P96" s="77" t="str">
        <f t="shared" si="5"/>
        <v/>
      </c>
    </row>
    <row r="97" spans="2:16" s="61" customFormat="1" ht="34" customHeight="1" x14ac:dyDescent="0.2">
      <c r="B97" s="77" t="str">
        <f>IF('Step 2- Activity Inventory'!B100="","",'Step 2- Activity Inventory'!B100)</f>
        <v/>
      </c>
      <c r="C97" s="77" t="str">
        <f>IF('Step 2- Activity Inventory'!C100="","",'Step 2- Activity Inventory'!C100)</f>
        <v/>
      </c>
      <c r="D97" s="88" t="str">
        <f>IF('Step 2- Activity Inventory'!E100="","",'Step 2- Activity Inventory'!E100)</f>
        <v/>
      </c>
      <c r="E97" s="88" t="str">
        <f>IF('Step 2- Activity Inventory'!F100="","",'Step 2- Activity Inventory'!F100)</f>
        <v/>
      </c>
      <c r="F97" s="88" t="str">
        <f>IF(E97="Genius","N/A",IF('Step 2- Activity Inventory'!G100="","",'Step 2- Activity Inventory'!G100))</f>
        <v/>
      </c>
      <c r="G97" s="89" t="str">
        <f>IF('Step 2- Activity Inventory'!D100="","",'Step 2- Activity Inventory'!D100)</f>
        <v/>
      </c>
      <c r="H97" s="90"/>
      <c r="I97" s="24"/>
      <c r="J97" s="24"/>
      <c r="K97" s="91"/>
      <c r="L97" s="92" t="str">
        <f>IF(OR('Step 2- Activity Inventory'!O100=6,AND('Step 2- Activity Inventory'!O100=5,E97="Genius")),'Step 1- Hrly Rate Calc'!$D$18,"")</f>
        <v/>
      </c>
      <c r="M97" s="93" t="str">
        <f t="shared" si="3"/>
        <v/>
      </c>
      <c r="N97" s="93" t="str">
        <f>IF(L97="","",IF(IFERROR((G97/60)*M97*2*'Step 1- Hrly Rate Calc'!$D$14,"")&lt;0,"N/A",IFERROR((G97/60)*M97*2*'Step 1- Hrly Rate Calc'!$D$14,"")))</f>
        <v/>
      </c>
      <c r="O97" s="77" t="str">
        <f t="shared" si="4"/>
        <v/>
      </c>
      <c r="P97" s="77" t="str">
        <f t="shared" si="5"/>
        <v/>
      </c>
    </row>
    <row r="98" spans="2:16" s="61" customFormat="1" ht="34" customHeight="1" x14ac:dyDescent="0.2">
      <c r="B98" s="77" t="str">
        <f>IF('Step 2- Activity Inventory'!B101="","",'Step 2- Activity Inventory'!B101)</f>
        <v/>
      </c>
      <c r="C98" s="77" t="str">
        <f>IF('Step 2- Activity Inventory'!C101="","",'Step 2- Activity Inventory'!C101)</f>
        <v/>
      </c>
      <c r="D98" s="88" t="str">
        <f>IF('Step 2- Activity Inventory'!E101="","",'Step 2- Activity Inventory'!E101)</f>
        <v/>
      </c>
      <c r="E98" s="88" t="str">
        <f>IF('Step 2- Activity Inventory'!F101="","",'Step 2- Activity Inventory'!F101)</f>
        <v/>
      </c>
      <c r="F98" s="88" t="str">
        <f>IF(E98="Genius","N/A",IF('Step 2- Activity Inventory'!G101="","",'Step 2- Activity Inventory'!G101))</f>
        <v/>
      </c>
      <c r="G98" s="89" t="str">
        <f>IF('Step 2- Activity Inventory'!D101="","",'Step 2- Activity Inventory'!D101)</f>
        <v/>
      </c>
      <c r="H98" s="90"/>
      <c r="I98" s="24"/>
      <c r="J98" s="24"/>
      <c r="K98" s="91"/>
      <c r="L98" s="92" t="str">
        <f>IF(OR('Step 2- Activity Inventory'!O101=6,AND('Step 2- Activity Inventory'!O101=5,E98="Genius")),'Step 1- Hrly Rate Calc'!$D$18,"")</f>
        <v/>
      </c>
      <c r="M98" s="93" t="str">
        <f t="shared" si="3"/>
        <v/>
      </c>
      <c r="N98" s="93" t="str">
        <f>IF(L98="","",IF(IFERROR((G98/60)*M98*2*'Step 1- Hrly Rate Calc'!$D$14,"")&lt;0,"N/A",IFERROR((G98/60)*M98*2*'Step 1- Hrly Rate Calc'!$D$14,"")))</f>
        <v/>
      </c>
      <c r="O98" s="77" t="str">
        <f t="shared" si="4"/>
        <v/>
      </c>
      <c r="P98" s="77" t="str">
        <f t="shared" si="5"/>
        <v/>
      </c>
    </row>
    <row r="99" spans="2:16" s="61" customFormat="1" ht="34" customHeight="1" x14ac:dyDescent="0.2">
      <c r="B99" s="77" t="str">
        <f>IF('Step 2- Activity Inventory'!B102="","",'Step 2- Activity Inventory'!B102)</f>
        <v/>
      </c>
      <c r="C99" s="77" t="str">
        <f>IF('Step 2- Activity Inventory'!C102="","",'Step 2- Activity Inventory'!C102)</f>
        <v/>
      </c>
      <c r="D99" s="88" t="str">
        <f>IF('Step 2- Activity Inventory'!E102="","",'Step 2- Activity Inventory'!E102)</f>
        <v/>
      </c>
      <c r="E99" s="88" t="str">
        <f>IF('Step 2- Activity Inventory'!F102="","",'Step 2- Activity Inventory'!F102)</f>
        <v/>
      </c>
      <c r="F99" s="88" t="str">
        <f>IF(E99="Genius","N/A",IF('Step 2- Activity Inventory'!G102="","",'Step 2- Activity Inventory'!G102))</f>
        <v/>
      </c>
      <c r="G99" s="89" t="str">
        <f>IF('Step 2- Activity Inventory'!D102="","",'Step 2- Activity Inventory'!D102)</f>
        <v/>
      </c>
      <c r="H99" s="90"/>
      <c r="I99" s="24"/>
      <c r="J99" s="24"/>
      <c r="K99" s="91"/>
      <c r="L99" s="92" t="str">
        <f>IF(OR('Step 2- Activity Inventory'!O102=6,AND('Step 2- Activity Inventory'!O102=5,E99="Genius")),'Step 1- Hrly Rate Calc'!$D$18,"")</f>
        <v/>
      </c>
      <c r="M99" s="93" t="str">
        <f t="shared" si="3"/>
        <v/>
      </c>
      <c r="N99" s="93" t="str">
        <f>IF(L99="","",IF(IFERROR((G99/60)*M99*2*'Step 1- Hrly Rate Calc'!$D$14,"")&lt;0,"N/A",IFERROR((G99/60)*M99*2*'Step 1- Hrly Rate Calc'!$D$14,"")))</f>
        <v/>
      </c>
      <c r="O99" s="77" t="str">
        <f t="shared" si="4"/>
        <v/>
      </c>
      <c r="P99" s="77" t="str">
        <f t="shared" si="5"/>
        <v/>
      </c>
    </row>
    <row r="100" spans="2:16" s="61" customFormat="1" ht="34" customHeight="1" x14ac:dyDescent="0.2">
      <c r="B100" s="77" t="str">
        <f>IF('Step 2- Activity Inventory'!B103="","",'Step 2- Activity Inventory'!B103)</f>
        <v/>
      </c>
      <c r="C100" s="77" t="str">
        <f>IF('Step 2- Activity Inventory'!C103="","",'Step 2- Activity Inventory'!C103)</f>
        <v/>
      </c>
      <c r="D100" s="88" t="str">
        <f>IF('Step 2- Activity Inventory'!E103="","",'Step 2- Activity Inventory'!E103)</f>
        <v/>
      </c>
      <c r="E100" s="88" t="str">
        <f>IF('Step 2- Activity Inventory'!F103="","",'Step 2- Activity Inventory'!F103)</f>
        <v/>
      </c>
      <c r="F100" s="88" t="str">
        <f>IF(E100="Genius","N/A",IF('Step 2- Activity Inventory'!G103="","",'Step 2- Activity Inventory'!G103))</f>
        <v/>
      </c>
      <c r="G100" s="89" t="str">
        <f>IF('Step 2- Activity Inventory'!D103="","",'Step 2- Activity Inventory'!D103)</f>
        <v/>
      </c>
      <c r="H100" s="90"/>
      <c r="I100" s="24"/>
      <c r="J100" s="24"/>
      <c r="K100" s="91"/>
      <c r="L100" s="92" t="str">
        <f>IF(OR('Step 2- Activity Inventory'!O103=6,AND('Step 2- Activity Inventory'!O103=5,E100="Genius")),'Step 1- Hrly Rate Calc'!$D$18,"")</f>
        <v/>
      </c>
      <c r="M100" s="93" t="str">
        <f t="shared" si="3"/>
        <v/>
      </c>
      <c r="N100" s="93" t="str">
        <f>IF(L100="","",IF(IFERROR((G100/60)*M100*2*'Step 1- Hrly Rate Calc'!$D$14,"")&lt;0,"N/A",IFERROR((G100/60)*M100*2*'Step 1- Hrly Rate Calc'!$D$14,"")))</f>
        <v/>
      </c>
      <c r="O100" s="77" t="str">
        <f t="shared" si="4"/>
        <v/>
      </c>
      <c r="P100" s="77" t="str">
        <f t="shared" si="5"/>
        <v/>
      </c>
    </row>
    <row r="101" spans="2:16" s="61" customFormat="1" ht="34" customHeight="1" x14ac:dyDescent="0.2">
      <c r="B101" s="77" t="str">
        <f>IF('Step 2- Activity Inventory'!B104="","",'Step 2- Activity Inventory'!B104)</f>
        <v/>
      </c>
      <c r="C101" s="77" t="str">
        <f>IF('Step 2- Activity Inventory'!C104="","",'Step 2- Activity Inventory'!C104)</f>
        <v/>
      </c>
      <c r="D101" s="88" t="str">
        <f>IF('Step 2- Activity Inventory'!E104="","",'Step 2- Activity Inventory'!E104)</f>
        <v/>
      </c>
      <c r="E101" s="88" t="str">
        <f>IF('Step 2- Activity Inventory'!F104="","",'Step 2- Activity Inventory'!F104)</f>
        <v/>
      </c>
      <c r="F101" s="88" t="str">
        <f>IF(E101="Genius","N/A",IF('Step 2- Activity Inventory'!G104="","",'Step 2- Activity Inventory'!G104))</f>
        <v/>
      </c>
      <c r="G101" s="89" t="str">
        <f>IF('Step 2- Activity Inventory'!D104="","",'Step 2- Activity Inventory'!D104)</f>
        <v/>
      </c>
      <c r="H101" s="90"/>
      <c r="I101" s="24"/>
      <c r="J101" s="24"/>
      <c r="K101" s="91"/>
      <c r="L101" s="92" t="str">
        <f>IF(OR('Step 2- Activity Inventory'!O104=6,AND('Step 2- Activity Inventory'!O104=5,E101="Genius")),'Step 1- Hrly Rate Calc'!$D$18,"")</f>
        <v/>
      </c>
      <c r="M101" s="93" t="str">
        <f t="shared" si="3"/>
        <v/>
      </c>
      <c r="N101" s="93" t="str">
        <f>IF(L101="","",IF(IFERROR((G101/60)*M101*2*'Step 1- Hrly Rate Calc'!$D$14,"")&lt;0,"N/A",IFERROR((G101/60)*M101*2*'Step 1- Hrly Rate Calc'!$D$14,"")))</f>
        <v/>
      </c>
      <c r="O101" s="77" t="str">
        <f t="shared" si="4"/>
        <v/>
      </c>
      <c r="P101" s="77" t="str">
        <f t="shared" si="5"/>
        <v/>
      </c>
    </row>
    <row r="102" spans="2:16" s="61" customFormat="1" ht="34" customHeight="1" x14ac:dyDescent="0.2">
      <c r="B102" s="77" t="str">
        <f>IF('Step 2- Activity Inventory'!B105="","",'Step 2- Activity Inventory'!B105)</f>
        <v/>
      </c>
      <c r="C102" s="77" t="str">
        <f>IF('Step 2- Activity Inventory'!C105="","",'Step 2- Activity Inventory'!C105)</f>
        <v/>
      </c>
      <c r="D102" s="88" t="str">
        <f>IF('Step 2- Activity Inventory'!E105="","",'Step 2- Activity Inventory'!E105)</f>
        <v/>
      </c>
      <c r="E102" s="88" t="str">
        <f>IF('Step 2- Activity Inventory'!F105="","",'Step 2- Activity Inventory'!F105)</f>
        <v/>
      </c>
      <c r="F102" s="88" t="str">
        <f>IF(E102="Genius","N/A",IF('Step 2- Activity Inventory'!G105="","",'Step 2- Activity Inventory'!G105))</f>
        <v/>
      </c>
      <c r="G102" s="89" t="str">
        <f>IF('Step 2- Activity Inventory'!D105="","",'Step 2- Activity Inventory'!D105)</f>
        <v/>
      </c>
      <c r="H102" s="90"/>
      <c r="I102" s="24"/>
      <c r="J102" s="24"/>
      <c r="K102" s="91"/>
      <c r="L102" s="92" t="str">
        <f>IF(OR('Step 2- Activity Inventory'!O105=6,AND('Step 2- Activity Inventory'!O105=5,E102="Genius")),'Step 1- Hrly Rate Calc'!$D$18,"")</f>
        <v/>
      </c>
      <c r="M102" s="93" t="str">
        <f t="shared" si="3"/>
        <v/>
      </c>
      <c r="N102" s="93" t="str">
        <f>IF(L102="","",IF(IFERROR((G102/60)*M102*2*'Step 1- Hrly Rate Calc'!$D$14,"")&lt;0,"N/A",IFERROR((G102/60)*M102*2*'Step 1- Hrly Rate Calc'!$D$14,"")))</f>
        <v/>
      </c>
      <c r="O102" s="77" t="str">
        <f t="shared" si="4"/>
        <v/>
      </c>
      <c r="P102" s="77" t="str">
        <f t="shared" si="5"/>
        <v/>
      </c>
    </row>
    <row r="103" spans="2:16" s="61" customFormat="1" ht="34" customHeight="1" x14ac:dyDescent="0.2">
      <c r="B103" s="77" t="str">
        <f>IF('Step 2- Activity Inventory'!B106="","",'Step 2- Activity Inventory'!B106)</f>
        <v/>
      </c>
      <c r="C103" s="77" t="str">
        <f>IF('Step 2- Activity Inventory'!C106="","",'Step 2- Activity Inventory'!C106)</f>
        <v/>
      </c>
      <c r="D103" s="88" t="str">
        <f>IF('Step 2- Activity Inventory'!E106="","",'Step 2- Activity Inventory'!E106)</f>
        <v/>
      </c>
      <c r="E103" s="88" t="str">
        <f>IF('Step 2- Activity Inventory'!F106="","",'Step 2- Activity Inventory'!F106)</f>
        <v/>
      </c>
      <c r="F103" s="88" t="str">
        <f>IF(E103="Genius","N/A",IF('Step 2- Activity Inventory'!G106="","",'Step 2- Activity Inventory'!G106))</f>
        <v/>
      </c>
      <c r="G103" s="89" t="str">
        <f>IF('Step 2- Activity Inventory'!D106="","",'Step 2- Activity Inventory'!D106)</f>
        <v/>
      </c>
      <c r="H103" s="90"/>
      <c r="I103" s="24"/>
      <c r="J103" s="24"/>
      <c r="K103" s="91"/>
      <c r="L103" s="92" t="str">
        <f>IF(OR('Step 2- Activity Inventory'!O106=6,AND('Step 2- Activity Inventory'!O106=5,E103="Genius")),'Step 1- Hrly Rate Calc'!$D$18,"")</f>
        <v/>
      </c>
      <c r="M103" s="93" t="str">
        <f t="shared" si="3"/>
        <v/>
      </c>
      <c r="N103" s="93" t="str">
        <f>IF(L103="","",IF(IFERROR((G103/60)*M103*2*'Step 1- Hrly Rate Calc'!$D$14,"")&lt;0,"N/A",IFERROR((G103/60)*M103*2*'Step 1- Hrly Rate Calc'!$D$14,"")))</f>
        <v/>
      </c>
      <c r="O103" s="77" t="str">
        <f t="shared" si="4"/>
        <v/>
      </c>
      <c r="P103" s="77" t="str">
        <f t="shared" si="5"/>
        <v/>
      </c>
    </row>
    <row r="104" spans="2:16" s="61" customFormat="1" ht="34" customHeight="1" x14ac:dyDescent="0.2">
      <c r="B104" s="77" t="str">
        <f>IF('Step 2- Activity Inventory'!B107="","",'Step 2- Activity Inventory'!B107)</f>
        <v/>
      </c>
      <c r="C104" s="77" t="str">
        <f>IF('Step 2- Activity Inventory'!C107="","",'Step 2- Activity Inventory'!C107)</f>
        <v/>
      </c>
      <c r="D104" s="88" t="str">
        <f>IF('Step 2- Activity Inventory'!E107="","",'Step 2- Activity Inventory'!E107)</f>
        <v/>
      </c>
      <c r="E104" s="88" t="str">
        <f>IF('Step 2- Activity Inventory'!F107="","",'Step 2- Activity Inventory'!F107)</f>
        <v/>
      </c>
      <c r="F104" s="88" t="str">
        <f>IF(E104="Genius","N/A",IF('Step 2- Activity Inventory'!G107="","",'Step 2- Activity Inventory'!G107))</f>
        <v/>
      </c>
      <c r="G104" s="89" t="str">
        <f>IF('Step 2- Activity Inventory'!D107="","",'Step 2- Activity Inventory'!D107)</f>
        <v/>
      </c>
      <c r="H104" s="90"/>
      <c r="I104" s="24"/>
      <c r="J104" s="24"/>
      <c r="K104" s="91"/>
      <c r="L104" s="92" t="str">
        <f>IF(OR('Step 2- Activity Inventory'!O107=6,AND('Step 2- Activity Inventory'!O107=5,E104="Genius")),'Step 1- Hrly Rate Calc'!$D$18,"")</f>
        <v/>
      </c>
      <c r="M104" s="93" t="str">
        <f t="shared" si="3"/>
        <v/>
      </c>
      <c r="N104" s="93" t="str">
        <f>IF(L104="","",IF(IFERROR((G104/60)*M104*2*'Step 1- Hrly Rate Calc'!$D$14,"")&lt;0,"N/A",IFERROR((G104/60)*M104*2*'Step 1- Hrly Rate Calc'!$D$14,"")))</f>
        <v/>
      </c>
      <c r="O104" s="77" t="str">
        <f t="shared" si="4"/>
        <v/>
      </c>
      <c r="P104" s="77" t="str">
        <f t="shared" si="5"/>
        <v/>
      </c>
    </row>
    <row r="105" spans="2:16" s="61" customFormat="1" ht="34" customHeight="1" x14ac:dyDescent="0.2">
      <c r="B105" s="77" t="str">
        <f>IF('Step 2- Activity Inventory'!B108="","",'Step 2- Activity Inventory'!B108)</f>
        <v/>
      </c>
      <c r="C105" s="77" t="str">
        <f>IF('Step 2- Activity Inventory'!C108="","",'Step 2- Activity Inventory'!C108)</f>
        <v/>
      </c>
      <c r="D105" s="88" t="str">
        <f>IF('Step 2- Activity Inventory'!E108="","",'Step 2- Activity Inventory'!E108)</f>
        <v/>
      </c>
      <c r="E105" s="88" t="str">
        <f>IF('Step 2- Activity Inventory'!F108="","",'Step 2- Activity Inventory'!F108)</f>
        <v/>
      </c>
      <c r="F105" s="88" t="str">
        <f>IF(E105="Genius","N/A",IF('Step 2- Activity Inventory'!G108="","",'Step 2- Activity Inventory'!G108))</f>
        <v/>
      </c>
      <c r="G105" s="89" t="str">
        <f>IF('Step 2- Activity Inventory'!D108="","",'Step 2- Activity Inventory'!D108)</f>
        <v/>
      </c>
      <c r="H105" s="90"/>
      <c r="I105" s="24"/>
      <c r="J105" s="24"/>
      <c r="K105" s="91"/>
      <c r="L105" s="92" t="str">
        <f>IF(OR('Step 2- Activity Inventory'!O108=6,AND('Step 2- Activity Inventory'!O108=5,E105="Genius")),'Step 1- Hrly Rate Calc'!$D$18,"")</f>
        <v/>
      </c>
      <c r="M105" s="93" t="str">
        <f t="shared" si="3"/>
        <v/>
      </c>
      <c r="N105" s="93" t="str">
        <f>IF(L105="","",IF(IFERROR((G105/60)*M105*2*'Step 1- Hrly Rate Calc'!$D$14,"")&lt;0,"N/A",IFERROR((G105/60)*M105*2*'Step 1- Hrly Rate Calc'!$D$14,"")))</f>
        <v/>
      </c>
      <c r="O105" s="77" t="str">
        <f t="shared" si="4"/>
        <v/>
      </c>
      <c r="P105" s="77" t="str">
        <f t="shared" si="5"/>
        <v/>
      </c>
    </row>
    <row r="106" spans="2:16" s="61" customFormat="1" ht="34" customHeight="1" x14ac:dyDescent="0.2">
      <c r="B106" s="77" t="str">
        <f>IF('Step 2- Activity Inventory'!B109="","",'Step 2- Activity Inventory'!B109)</f>
        <v/>
      </c>
      <c r="C106" s="77" t="str">
        <f>IF('Step 2- Activity Inventory'!C109="","",'Step 2- Activity Inventory'!C109)</f>
        <v/>
      </c>
      <c r="D106" s="88" t="str">
        <f>IF('Step 2- Activity Inventory'!E109="","",'Step 2- Activity Inventory'!E109)</f>
        <v/>
      </c>
      <c r="E106" s="88" t="str">
        <f>IF('Step 2- Activity Inventory'!F109="","",'Step 2- Activity Inventory'!F109)</f>
        <v/>
      </c>
      <c r="F106" s="88" t="str">
        <f>IF(E106="Genius","N/A",IF('Step 2- Activity Inventory'!G109="","",'Step 2- Activity Inventory'!G109))</f>
        <v/>
      </c>
      <c r="G106" s="89" t="str">
        <f>IF('Step 2- Activity Inventory'!D109="","",'Step 2- Activity Inventory'!D109)</f>
        <v/>
      </c>
      <c r="H106" s="90"/>
      <c r="I106" s="24"/>
      <c r="J106" s="24"/>
      <c r="K106" s="91"/>
      <c r="L106" s="92" t="str">
        <f>IF(OR('Step 2- Activity Inventory'!O109=6,AND('Step 2- Activity Inventory'!O109=5,E106="Genius")),'Step 1- Hrly Rate Calc'!$D$18,"")</f>
        <v/>
      </c>
      <c r="M106" s="93" t="str">
        <f t="shared" si="3"/>
        <v/>
      </c>
      <c r="N106" s="93" t="str">
        <f>IF(L106="","",IF(IFERROR((G106/60)*M106*2*'Step 1- Hrly Rate Calc'!$D$14,"")&lt;0,"N/A",IFERROR((G106/60)*M106*2*'Step 1- Hrly Rate Calc'!$D$14,"")))</f>
        <v/>
      </c>
      <c r="O106" s="77" t="str">
        <f t="shared" si="4"/>
        <v/>
      </c>
      <c r="P106" s="77" t="str">
        <f t="shared" si="5"/>
        <v/>
      </c>
    </row>
    <row r="107" spans="2:16" s="61" customFormat="1" ht="34" customHeight="1" x14ac:dyDescent="0.2">
      <c r="B107" s="77" t="str">
        <f>IF('Step 2- Activity Inventory'!B110="","",'Step 2- Activity Inventory'!B110)</f>
        <v/>
      </c>
      <c r="C107" s="77" t="str">
        <f>IF('Step 2- Activity Inventory'!C110="","",'Step 2- Activity Inventory'!C110)</f>
        <v/>
      </c>
      <c r="D107" s="88" t="str">
        <f>IF('Step 2- Activity Inventory'!E110="","",'Step 2- Activity Inventory'!E110)</f>
        <v/>
      </c>
      <c r="E107" s="88" t="str">
        <f>IF('Step 2- Activity Inventory'!F110="","",'Step 2- Activity Inventory'!F110)</f>
        <v/>
      </c>
      <c r="F107" s="88" t="str">
        <f>IF(E107="Genius","N/A",IF('Step 2- Activity Inventory'!G110="","",'Step 2- Activity Inventory'!G110))</f>
        <v/>
      </c>
      <c r="G107" s="89" t="str">
        <f>IF('Step 2- Activity Inventory'!D110="","",'Step 2- Activity Inventory'!D110)</f>
        <v/>
      </c>
      <c r="H107" s="90"/>
      <c r="I107" s="24"/>
      <c r="J107" s="24"/>
      <c r="K107" s="91"/>
      <c r="L107" s="92" t="str">
        <f>IF(OR('Step 2- Activity Inventory'!O110=6,AND('Step 2- Activity Inventory'!O110=5,E107="Genius")),'Step 1- Hrly Rate Calc'!$D$18,"")</f>
        <v/>
      </c>
      <c r="M107" s="93" t="str">
        <f t="shared" si="3"/>
        <v/>
      </c>
      <c r="N107" s="93" t="str">
        <f>IF(L107="","",IF(IFERROR((G107/60)*M107*2*'Step 1- Hrly Rate Calc'!$D$14,"")&lt;0,"N/A",IFERROR((G107/60)*M107*2*'Step 1- Hrly Rate Calc'!$D$14,"")))</f>
        <v/>
      </c>
      <c r="O107" s="77" t="str">
        <f t="shared" si="4"/>
        <v/>
      </c>
      <c r="P107" s="77" t="str">
        <f t="shared" si="5"/>
        <v/>
      </c>
    </row>
    <row r="108" spans="2:16" s="61" customFormat="1" ht="34" customHeight="1" x14ac:dyDescent="0.2">
      <c r="B108" s="77" t="str">
        <f>IF('Step 2- Activity Inventory'!B111="","",'Step 2- Activity Inventory'!B111)</f>
        <v/>
      </c>
      <c r="C108" s="77" t="str">
        <f>IF('Step 2- Activity Inventory'!C111="","",'Step 2- Activity Inventory'!C111)</f>
        <v/>
      </c>
      <c r="D108" s="88" t="str">
        <f>IF('Step 2- Activity Inventory'!E111="","",'Step 2- Activity Inventory'!E111)</f>
        <v/>
      </c>
      <c r="E108" s="88" t="str">
        <f>IF('Step 2- Activity Inventory'!F111="","",'Step 2- Activity Inventory'!F111)</f>
        <v/>
      </c>
      <c r="F108" s="88" t="str">
        <f>IF(E108="Genius","N/A",IF('Step 2- Activity Inventory'!G111="","",'Step 2- Activity Inventory'!G111))</f>
        <v/>
      </c>
      <c r="G108" s="89" t="str">
        <f>IF('Step 2- Activity Inventory'!D111="","",'Step 2- Activity Inventory'!D111)</f>
        <v/>
      </c>
      <c r="H108" s="90"/>
      <c r="I108" s="24"/>
      <c r="J108" s="24"/>
      <c r="K108" s="91"/>
      <c r="L108" s="92" t="str">
        <f>IF(OR('Step 2- Activity Inventory'!O111=6,AND('Step 2- Activity Inventory'!O111=5,E108="Genius")),'Step 1- Hrly Rate Calc'!$D$18,"")</f>
        <v/>
      </c>
      <c r="M108" s="93" t="str">
        <f t="shared" si="3"/>
        <v/>
      </c>
      <c r="N108" s="93" t="str">
        <f>IF(L108="","",IF(IFERROR((G108/60)*M108*2*'Step 1- Hrly Rate Calc'!$D$14,"")&lt;0,"N/A",IFERROR((G108/60)*M108*2*'Step 1- Hrly Rate Calc'!$D$14,"")))</f>
        <v/>
      </c>
      <c r="O108" s="77" t="str">
        <f t="shared" si="4"/>
        <v/>
      </c>
      <c r="P108" s="77" t="str">
        <f t="shared" si="5"/>
        <v/>
      </c>
    </row>
    <row r="109" spans="2:16" s="61" customFormat="1" ht="34" customHeight="1" x14ac:dyDescent="0.2">
      <c r="B109" s="77" t="str">
        <f>IF('Step 2- Activity Inventory'!B112="","",'Step 2- Activity Inventory'!B112)</f>
        <v/>
      </c>
      <c r="C109" s="77" t="str">
        <f>IF('Step 2- Activity Inventory'!C112="","",'Step 2- Activity Inventory'!C112)</f>
        <v/>
      </c>
      <c r="D109" s="88" t="str">
        <f>IF('Step 2- Activity Inventory'!E112="","",'Step 2- Activity Inventory'!E112)</f>
        <v/>
      </c>
      <c r="E109" s="88" t="str">
        <f>IF('Step 2- Activity Inventory'!F112="","",'Step 2- Activity Inventory'!F112)</f>
        <v/>
      </c>
      <c r="F109" s="88" t="str">
        <f>IF(E109="Genius","N/A",IF('Step 2- Activity Inventory'!G112="","",'Step 2- Activity Inventory'!G112))</f>
        <v/>
      </c>
      <c r="G109" s="89" t="str">
        <f>IF('Step 2- Activity Inventory'!D112="","",'Step 2- Activity Inventory'!D112)</f>
        <v/>
      </c>
      <c r="H109" s="90"/>
      <c r="I109" s="24"/>
      <c r="J109" s="24"/>
      <c r="K109" s="91"/>
      <c r="L109" s="92" t="str">
        <f>IF(OR('Step 2- Activity Inventory'!O112=6,AND('Step 2- Activity Inventory'!O112=5,E109="Genius")),'Step 1- Hrly Rate Calc'!$D$18,"")</f>
        <v/>
      </c>
      <c r="M109" s="93" t="str">
        <f t="shared" si="3"/>
        <v/>
      </c>
      <c r="N109" s="93" t="str">
        <f>IF(L109="","",IF(IFERROR((G109/60)*M109*2*'Step 1- Hrly Rate Calc'!$D$14,"")&lt;0,"N/A",IFERROR((G109/60)*M109*2*'Step 1- Hrly Rate Calc'!$D$14,"")))</f>
        <v/>
      </c>
      <c r="O109" s="77" t="str">
        <f t="shared" si="4"/>
        <v/>
      </c>
      <c r="P109" s="77" t="str">
        <f t="shared" si="5"/>
        <v/>
      </c>
    </row>
    <row r="110" spans="2:16" s="61" customFormat="1" ht="34" customHeight="1" x14ac:dyDescent="0.2">
      <c r="B110" s="77" t="str">
        <f>IF('Step 2- Activity Inventory'!B113="","",'Step 2- Activity Inventory'!B113)</f>
        <v/>
      </c>
      <c r="C110" s="77" t="str">
        <f>IF('Step 2- Activity Inventory'!C113="","",'Step 2- Activity Inventory'!C113)</f>
        <v/>
      </c>
      <c r="D110" s="88" t="str">
        <f>IF('Step 2- Activity Inventory'!E113="","",'Step 2- Activity Inventory'!E113)</f>
        <v/>
      </c>
      <c r="E110" s="88" t="str">
        <f>IF('Step 2- Activity Inventory'!F113="","",'Step 2- Activity Inventory'!F113)</f>
        <v/>
      </c>
      <c r="F110" s="88" t="str">
        <f>IF(E110="Genius","N/A",IF('Step 2- Activity Inventory'!G113="","",'Step 2- Activity Inventory'!G113))</f>
        <v/>
      </c>
      <c r="G110" s="89" t="str">
        <f>IF('Step 2- Activity Inventory'!D113="","",'Step 2- Activity Inventory'!D113)</f>
        <v/>
      </c>
      <c r="H110" s="90"/>
      <c r="I110" s="24"/>
      <c r="J110" s="24"/>
      <c r="K110" s="91"/>
      <c r="L110" s="92" t="str">
        <f>IF(OR('Step 2- Activity Inventory'!O113=6,AND('Step 2- Activity Inventory'!O113=5,E110="Genius")),'Step 1- Hrly Rate Calc'!$D$18,"")</f>
        <v/>
      </c>
      <c r="M110" s="93" t="str">
        <f t="shared" si="3"/>
        <v/>
      </c>
      <c r="N110" s="93" t="str">
        <f>IF(L110="","",IF(IFERROR((G110/60)*M110*2*'Step 1- Hrly Rate Calc'!$D$14,"")&lt;0,"N/A",IFERROR((G110/60)*M110*2*'Step 1- Hrly Rate Calc'!$D$14,"")))</f>
        <v/>
      </c>
      <c r="O110" s="77" t="str">
        <f t="shared" si="4"/>
        <v/>
      </c>
      <c r="P110" s="77" t="str">
        <f t="shared" si="5"/>
        <v/>
      </c>
    </row>
    <row r="111" spans="2:16" s="61" customFormat="1" ht="34" customHeight="1" x14ac:dyDescent="0.2">
      <c r="B111" s="77" t="str">
        <f>IF('Step 2- Activity Inventory'!B114="","",'Step 2- Activity Inventory'!B114)</f>
        <v/>
      </c>
      <c r="C111" s="77" t="str">
        <f>IF('Step 2- Activity Inventory'!C114="","",'Step 2- Activity Inventory'!C114)</f>
        <v/>
      </c>
      <c r="D111" s="88" t="str">
        <f>IF('Step 2- Activity Inventory'!E114="","",'Step 2- Activity Inventory'!E114)</f>
        <v/>
      </c>
      <c r="E111" s="88" t="str">
        <f>IF('Step 2- Activity Inventory'!F114="","",'Step 2- Activity Inventory'!F114)</f>
        <v/>
      </c>
      <c r="F111" s="88" t="str">
        <f>IF(E111="Genius","N/A",IF('Step 2- Activity Inventory'!G114="","",'Step 2- Activity Inventory'!G114))</f>
        <v/>
      </c>
      <c r="G111" s="89" t="str">
        <f>IF('Step 2- Activity Inventory'!D114="","",'Step 2- Activity Inventory'!D114)</f>
        <v/>
      </c>
      <c r="H111" s="90"/>
      <c r="I111" s="24"/>
      <c r="J111" s="24"/>
      <c r="K111" s="91"/>
      <c r="L111" s="92" t="str">
        <f>IF(OR('Step 2- Activity Inventory'!O114=6,AND('Step 2- Activity Inventory'!O114=5,E111="Genius")),'Step 1- Hrly Rate Calc'!$D$18,"")</f>
        <v/>
      </c>
      <c r="M111" s="93" t="str">
        <f t="shared" si="3"/>
        <v/>
      </c>
      <c r="N111" s="93" t="str">
        <f>IF(L111="","",IF(IFERROR((G111/60)*M111*2*'Step 1- Hrly Rate Calc'!$D$14,"")&lt;0,"N/A",IFERROR((G111/60)*M111*2*'Step 1- Hrly Rate Calc'!$D$14,"")))</f>
        <v/>
      </c>
      <c r="O111" s="77" t="str">
        <f t="shared" si="4"/>
        <v/>
      </c>
      <c r="P111" s="77" t="str">
        <f t="shared" si="5"/>
        <v/>
      </c>
    </row>
    <row r="112" spans="2:16" s="61" customFormat="1" ht="34" customHeight="1" x14ac:dyDescent="0.2">
      <c r="B112" s="77" t="str">
        <f>IF('Step 2- Activity Inventory'!B115="","",'Step 2- Activity Inventory'!B115)</f>
        <v/>
      </c>
      <c r="C112" s="77" t="str">
        <f>IF('Step 2- Activity Inventory'!C115="","",'Step 2- Activity Inventory'!C115)</f>
        <v/>
      </c>
      <c r="D112" s="88" t="str">
        <f>IF('Step 2- Activity Inventory'!E115="","",'Step 2- Activity Inventory'!E115)</f>
        <v/>
      </c>
      <c r="E112" s="88" t="str">
        <f>IF('Step 2- Activity Inventory'!F115="","",'Step 2- Activity Inventory'!F115)</f>
        <v/>
      </c>
      <c r="F112" s="88" t="str">
        <f>IF(E112="Genius","N/A",IF('Step 2- Activity Inventory'!G115="","",'Step 2- Activity Inventory'!G115))</f>
        <v/>
      </c>
      <c r="G112" s="89" t="str">
        <f>IF('Step 2- Activity Inventory'!D115="","",'Step 2- Activity Inventory'!D115)</f>
        <v/>
      </c>
      <c r="H112" s="90"/>
      <c r="I112" s="24"/>
      <c r="J112" s="24"/>
      <c r="K112" s="91"/>
      <c r="L112" s="92" t="str">
        <f>IF(OR('Step 2- Activity Inventory'!O115=6,AND('Step 2- Activity Inventory'!O115=5,E112="Genius")),'Step 1- Hrly Rate Calc'!$D$18,"")</f>
        <v/>
      </c>
      <c r="M112" s="93" t="str">
        <f t="shared" si="3"/>
        <v/>
      </c>
      <c r="N112" s="93" t="str">
        <f>IF(L112="","",IF(IFERROR((G112/60)*M112*2*'Step 1- Hrly Rate Calc'!$D$14,"")&lt;0,"N/A",IFERROR((G112/60)*M112*2*'Step 1- Hrly Rate Calc'!$D$14,"")))</f>
        <v/>
      </c>
      <c r="O112" s="77" t="str">
        <f t="shared" si="4"/>
        <v/>
      </c>
      <c r="P112" s="77" t="str">
        <f t="shared" si="5"/>
        <v/>
      </c>
    </row>
    <row r="113" spans="2:16" s="61" customFormat="1" ht="34" customHeight="1" x14ac:dyDescent="0.2">
      <c r="B113" s="77" t="str">
        <f>IF('Step 2- Activity Inventory'!B116="","",'Step 2- Activity Inventory'!B116)</f>
        <v/>
      </c>
      <c r="C113" s="77" t="str">
        <f>IF('Step 2- Activity Inventory'!C116="","",'Step 2- Activity Inventory'!C116)</f>
        <v/>
      </c>
      <c r="D113" s="88" t="str">
        <f>IF('Step 2- Activity Inventory'!E116="","",'Step 2- Activity Inventory'!E116)</f>
        <v/>
      </c>
      <c r="E113" s="88" t="str">
        <f>IF('Step 2- Activity Inventory'!F116="","",'Step 2- Activity Inventory'!F116)</f>
        <v/>
      </c>
      <c r="F113" s="88" t="str">
        <f>IF(E113="Genius","N/A",IF('Step 2- Activity Inventory'!G116="","",'Step 2- Activity Inventory'!G116))</f>
        <v/>
      </c>
      <c r="G113" s="89" t="str">
        <f>IF('Step 2- Activity Inventory'!D116="","",'Step 2- Activity Inventory'!D116)</f>
        <v/>
      </c>
      <c r="H113" s="90"/>
      <c r="I113" s="24"/>
      <c r="J113" s="24"/>
      <c r="K113" s="91"/>
      <c r="L113" s="92" t="str">
        <f>IF(OR('Step 2- Activity Inventory'!O116=6,AND('Step 2- Activity Inventory'!O116=5,E113="Genius")),'Step 1- Hrly Rate Calc'!$D$18,"")</f>
        <v/>
      </c>
      <c r="M113" s="93" t="str">
        <f t="shared" si="3"/>
        <v/>
      </c>
      <c r="N113" s="93" t="str">
        <f>IF(L113="","",IF(IFERROR((G113/60)*M113*2*'Step 1- Hrly Rate Calc'!$D$14,"")&lt;0,"N/A",IFERROR((G113/60)*M113*2*'Step 1- Hrly Rate Calc'!$D$14,"")))</f>
        <v/>
      </c>
      <c r="O113" s="77" t="str">
        <f t="shared" si="4"/>
        <v/>
      </c>
      <c r="P113" s="77" t="str">
        <f t="shared" si="5"/>
        <v/>
      </c>
    </row>
    <row r="114" spans="2:16" s="61" customFormat="1" ht="34" customHeight="1" x14ac:dyDescent="0.2">
      <c r="B114" s="77" t="str">
        <f>IF('Step 2- Activity Inventory'!B117="","",'Step 2- Activity Inventory'!B117)</f>
        <v/>
      </c>
      <c r="C114" s="77" t="str">
        <f>IF('Step 2- Activity Inventory'!C117="","",'Step 2- Activity Inventory'!C117)</f>
        <v/>
      </c>
      <c r="D114" s="88" t="str">
        <f>IF('Step 2- Activity Inventory'!E117="","",'Step 2- Activity Inventory'!E117)</f>
        <v/>
      </c>
      <c r="E114" s="88" t="str">
        <f>IF('Step 2- Activity Inventory'!F117="","",'Step 2- Activity Inventory'!F117)</f>
        <v/>
      </c>
      <c r="F114" s="88" t="str">
        <f>IF(E114="Genius","N/A",IF('Step 2- Activity Inventory'!G117="","",'Step 2- Activity Inventory'!G117))</f>
        <v/>
      </c>
      <c r="G114" s="89" t="str">
        <f>IF('Step 2- Activity Inventory'!D117="","",'Step 2- Activity Inventory'!D117)</f>
        <v/>
      </c>
      <c r="H114" s="90"/>
      <c r="I114" s="24"/>
      <c r="J114" s="24"/>
      <c r="K114" s="91"/>
      <c r="L114" s="92" t="str">
        <f>IF(OR('Step 2- Activity Inventory'!O117=6,AND('Step 2- Activity Inventory'!O117=5,E114="Genius")),'Step 1- Hrly Rate Calc'!$D$18,"")</f>
        <v/>
      </c>
      <c r="M114" s="93" t="str">
        <f t="shared" si="3"/>
        <v/>
      </c>
      <c r="N114" s="93" t="str">
        <f>IF(L114="","",IF(IFERROR((G114/60)*M114*2*'Step 1- Hrly Rate Calc'!$D$14,"")&lt;0,"N/A",IFERROR((G114/60)*M114*2*'Step 1- Hrly Rate Calc'!$D$14,"")))</f>
        <v/>
      </c>
      <c r="O114" s="77" t="str">
        <f t="shared" si="4"/>
        <v/>
      </c>
      <c r="P114" s="77" t="str">
        <f t="shared" si="5"/>
        <v/>
      </c>
    </row>
    <row r="115" spans="2:16" s="61" customFormat="1" ht="34" customHeight="1" x14ac:dyDescent="0.2">
      <c r="B115" s="77" t="str">
        <f>IF('Step 2- Activity Inventory'!B118="","",'Step 2- Activity Inventory'!B118)</f>
        <v/>
      </c>
      <c r="C115" s="77" t="str">
        <f>IF('Step 2- Activity Inventory'!C118="","",'Step 2- Activity Inventory'!C118)</f>
        <v/>
      </c>
      <c r="D115" s="88" t="str">
        <f>IF('Step 2- Activity Inventory'!E118="","",'Step 2- Activity Inventory'!E118)</f>
        <v/>
      </c>
      <c r="E115" s="88" t="str">
        <f>IF('Step 2- Activity Inventory'!F118="","",'Step 2- Activity Inventory'!F118)</f>
        <v/>
      </c>
      <c r="F115" s="88" t="str">
        <f>IF(E115="Genius","N/A",IF('Step 2- Activity Inventory'!G118="","",'Step 2- Activity Inventory'!G118))</f>
        <v/>
      </c>
      <c r="G115" s="89" t="str">
        <f>IF('Step 2- Activity Inventory'!D118="","",'Step 2- Activity Inventory'!D118)</f>
        <v/>
      </c>
      <c r="H115" s="90"/>
      <c r="I115" s="24"/>
      <c r="J115" s="24"/>
      <c r="K115" s="91"/>
      <c r="L115" s="92" t="str">
        <f>IF(OR('Step 2- Activity Inventory'!O118=6,AND('Step 2- Activity Inventory'!O118=5,E115="Genius")),'Step 1- Hrly Rate Calc'!$D$18,"")</f>
        <v/>
      </c>
      <c r="M115" s="93" t="str">
        <f t="shared" si="3"/>
        <v/>
      </c>
      <c r="N115" s="93" t="str">
        <f>IF(L115="","",IF(IFERROR((G115/60)*M115*2*'Step 1- Hrly Rate Calc'!$D$14,"")&lt;0,"N/A",IFERROR((G115/60)*M115*2*'Step 1- Hrly Rate Calc'!$D$14,"")))</f>
        <v/>
      </c>
      <c r="O115" s="77" t="str">
        <f t="shared" si="4"/>
        <v/>
      </c>
      <c r="P115" s="77" t="str">
        <f t="shared" si="5"/>
        <v/>
      </c>
    </row>
    <row r="116" spans="2:16" s="61" customFormat="1" ht="34" customHeight="1" x14ac:dyDescent="0.2">
      <c r="B116" s="77" t="str">
        <f>IF('Step 2- Activity Inventory'!B119="","",'Step 2- Activity Inventory'!B119)</f>
        <v/>
      </c>
      <c r="C116" s="77" t="str">
        <f>IF('Step 2- Activity Inventory'!C119="","",'Step 2- Activity Inventory'!C119)</f>
        <v/>
      </c>
      <c r="D116" s="88" t="str">
        <f>IF('Step 2- Activity Inventory'!E119="","",'Step 2- Activity Inventory'!E119)</f>
        <v/>
      </c>
      <c r="E116" s="88" t="str">
        <f>IF('Step 2- Activity Inventory'!F119="","",'Step 2- Activity Inventory'!F119)</f>
        <v/>
      </c>
      <c r="F116" s="88" t="str">
        <f>IF(E116="Genius","N/A",IF('Step 2- Activity Inventory'!G119="","",'Step 2- Activity Inventory'!G119))</f>
        <v/>
      </c>
      <c r="G116" s="89" t="str">
        <f>IF('Step 2- Activity Inventory'!D119="","",'Step 2- Activity Inventory'!D119)</f>
        <v/>
      </c>
      <c r="H116" s="90"/>
      <c r="I116" s="24"/>
      <c r="J116" s="24"/>
      <c r="K116" s="91"/>
      <c r="L116" s="92" t="str">
        <f>IF(OR('Step 2- Activity Inventory'!O119=6,AND('Step 2- Activity Inventory'!O119=5,E116="Genius")),'Step 1- Hrly Rate Calc'!$D$18,"")</f>
        <v/>
      </c>
      <c r="M116" s="93" t="str">
        <f t="shared" si="3"/>
        <v/>
      </c>
      <c r="N116" s="93" t="str">
        <f>IF(L116="","",IF(IFERROR((G116/60)*M116*2*'Step 1- Hrly Rate Calc'!$D$14,"")&lt;0,"N/A",IFERROR((G116/60)*M116*2*'Step 1- Hrly Rate Calc'!$D$14,"")))</f>
        <v/>
      </c>
      <c r="O116" s="77" t="str">
        <f t="shared" si="4"/>
        <v/>
      </c>
      <c r="P116" s="77" t="str">
        <f t="shared" si="5"/>
        <v/>
      </c>
    </row>
    <row r="117" spans="2:16" s="61" customFormat="1" ht="34" customHeight="1" x14ac:dyDescent="0.2">
      <c r="B117" s="77" t="str">
        <f>IF('Step 2- Activity Inventory'!B120="","",'Step 2- Activity Inventory'!B120)</f>
        <v/>
      </c>
      <c r="C117" s="77" t="str">
        <f>IF('Step 2- Activity Inventory'!C120="","",'Step 2- Activity Inventory'!C120)</f>
        <v/>
      </c>
      <c r="D117" s="88" t="str">
        <f>IF('Step 2- Activity Inventory'!E120="","",'Step 2- Activity Inventory'!E120)</f>
        <v/>
      </c>
      <c r="E117" s="88" t="str">
        <f>IF('Step 2- Activity Inventory'!F120="","",'Step 2- Activity Inventory'!F120)</f>
        <v/>
      </c>
      <c r="F117" s="88" t="str">
        <f>IF(E117="Genius","N/A",IF('Step 2- Activity Inventory'!G120="","",'Step 2- Activity Inventory'!G120))</f>
        <v/>
      </c>
      <c r="G117" s="89" t="str">
        <f>IF('Step 2- Activity Inventory'!D120="","",'Step 2- Activity Inventory'!D120)</f>
        <v/>
      </c>
      <c r="H117" s="90"/>
      <c r="I117" s="24"/>
      <c r="J117" s="24"/>
      <c r="K117" s="91"/>
      <c r="L117" s="92" t="str">
        <f>IF(OR('Step 2- Activity Inventory'!O120=6,AND('Step 2- Activity Inventory'!O120=5,E117="Genius")),'Step 1- Hrly Rate Calc'!$D$18,"")</f>
        <v/>
      </c>
      <c r="M117" s="93" t="str">
        <f t="shared" si="3"/>
        <v/>
      </c>
      <c r="N117" s="93" t="str">
        <f>IF(L117="","",IF(IFERROR((G117/60)*M117*2*'Step 1- Hrly Rate Calc'!$D$14,"")&lt;0,"N/A",IFERROR((G117/60)*M117*2*'Step 1- Hrly Rate Calc'!$D$14,"")))</f>
        <v/>
      </c>
      <c r="O117" s="77" t="str">
        <f t="shared" si="4"/>
        <v/>
      </c>
      <c r="P117" s="77" t="str">
        <f t="shared" si="5"/>
        <v/>
      </c>
    </row>
    <row r="118" spans="2:16" s="61" customFormat="1" ht="34" customHeight="1" x14ac:dyDescent="0.2">
      <c r="B118" s="77" t="str">
        <f>IF('Step 2- Activity Inventory'!B121="","",'Step 2- Activity Inventory'!B121)</f>
        <v/>
      </c>
      <c r="C118" s="77" t="str">
        <f>IF('Step 2- Activity Inventory'!C121="","",'Step 2- Activity Inventory'!C121)</f>
        <v/>
      </c>
      <c r="D118" s="88" t="str">
        <f>IF('Step 2- Activity Inventory'!E121="","",'Step 2- Activity Inventory'!E121)</f>
        <v/>
      </c>
      <c r="E118" s="88" t="str">
        <f>IF('Step 2- Activity Inventory'!F121="","",'Step 2- Activity Inventory'!F121)</f>
        <v/>
      </c>
      <c r="F118" s="88" t="str">
        <f>IF(E118="Genius","N/A",IF('Step 2- Activity Inventory'!G121="","",'Step 2- Activity Inventory'!G121))</f>
        <v/>
      </c>
      <c r="G118" s="89" t="str">
        <f>IF('Step 2- Activity Inventory'!D121="","",'Step 2- Activity Inventory'!D121)</f>
        <v/>
      </c>
      <c r="H118" s="90"/>
      <c r="I118" s="24"/>
      <c r="J118" s="24"/>
      <c r="K118" s="91"/>
      <c r="L118" s="92" t="str">
        <f>IF(OR('Step 2- Activity Inventory'!O121=6,AND('Step 2- Activity Inventory'!O121=5,E118="Genius")),'Step 1- Hrly Rate Calc'!$D$18,"")</f>
        <v/>
      </c>
      <c r="M118" s="93" t="str">
        <f t="shared" si="3"/>
        <v/>
      </c>
      <c r="N118" s="93" t="str">
        <f>IF(L118="","",IF(IFERROR((G118/60)*M118*2*'Step 1- Hrly Rate Calc'!$D$14,"")&lt;0,"N/A",IFERROR((G118/60)*M118*2*'Step 1- Hrly Rate Calc'!$D$14,"")))</f>
        <v/>
      </c>
      <c r="O118" s="77" t="str">
        <f t="shared" si="4"/>
        <v/>
      </c>
      <c r="P118" s="77" t="str">
        <f t="shared" si="5"/>
        <v/>
      </c>
    </row>
    <row r="119" spans="2:16" s="61" customFormat="1" ht="34" customHeight="1" x14ac:dyDescent="0.2">
      <c r="B119" s="77" t="str">
        <f>IF('Step 2- Activity Inventory'!B122="","",'Step 2- Activity Inventory'!B122)</f>
        <v/>
      </c>
      <c r="C119" s="77" t="str">
        <f>IF('Step 2- Activity Inventory'!C122="","",'Step 2- Activity Inventory'!C122)</f>
        <v/>
      </c>
      <c r="D119" s="88" t="str">
        <f>IF('Step 2- Activity Inventory'!E122="","",'Step 2- Activity Inventory'!E122)</f>
        <v/>
      </c>
      <c r="E119" s="88" t="str">
        <f>IF('Step 2- Activity Inventory'!F122="","",'Step 2- Activity Inventory'!F122)</f>
        <v/>
      </c>
      <c r="F119" s="88" t="str">
        <f>IF(E119="Genius","N/A",IF('Step 2- Activity Inventory'!G122="","",'Step 2- Activity Inventory'!G122))</f>
        <v/>
      </c>
      <c r="G119" s="89" t="str">
        <f>IF('Step 2- Activity Inventory'!D122="","",'Step 2- Activity Inventory'!D122)</f>
        <v/>
      </c>
      <c r="H119" s="90"/>
      <c r="I119" s="24"/>
      <c r="J119" s="24"/>
      <c r="K119" s="91"/>
      <c r="L119" s="92" t="str">
        <f>IF(OR('Step 2- Activity Inventory'!O122=6,AND('Step 2- Activity Inventory'!O122=5,E119="Genius")),'Step 1- Hrly Rate Calc'!$D$18,"")</f>
        <v/>
      </c>
      <c r="M119" s="93" t="str">
        <f t="shared" si="3"/>
        <v/>
      </c>
      <c r="N119" s="93" t="str">
        <f>IF(L119="","",IF(IFERROR((G119/60)*M119*2*'Step 1- Hrly Rate Calc'!$D$14,"")&lt;0,"N/A",IFERROR((G119/60)*M119*2*'Step 1- Hrly Rate Calc'!$D$14,"")))</f>
        <v/>
      </c>
      <c r="O119" s="77" t="str">
        <f t="shared" si="4"/>
        <v/>
      </c>
      <c r="P119" s="77" t="str">
        <f t="shared" si="5"/>
        <v/>
      </c>
    </row>
    <row r="120" spans="2:16" s="61" customFormat="1" ht="34" customHeight="1" x14ac:dyDescent="0.2">
      <c r="B120" s="77" t="str">
        <f>IF('Step 2- Activity Inventory'!B123="","",'Step 2- Activity Inventory'!B123)</f>
        <v/>
      </c>
      <c r="C120" s="77" t="str">
        <f>IF('Step 2- Activity Inventory'!C123="","",'Step 2- Activity Inventory'!C123)</f>
        <v/>
      </c>
      <c r="D120" s="88" t="str">
        <f>IF('Step 2- Activity Inventory'!E123="","",'Step 2- Activity Inventory'!E123)</f>
        <v/>
      </c>
      <c r="E120" s="88" t="str">
        <f>IF('Step 2- Activity Inventory'!F123="","",'Step 2- Activity Inventory'!F123)</f>
        <v/>
      </c>
      <c r="F120" s="88" t="str">
        <f>IF(E120="Genius","N/A",IF('Step 2- Activity Inventory'!G123="","",'Step 2- Activity Inventory'!G123))</f>
        <v/>
      </c>
      <c r="G120" s="89" t="str">
        <f>IF('Step 2- Activity Inventory'!D123="","",'Step 2- Activity Inventory'!D123)</f>
        <v/>
      </c>
      <c r="H120" s="90"/>
      <c r="I120" s="24"/>
      <c r="J120" s="24"/>
      <c r="K120" s="91"/>
      <c r="L120" s="92" t="str">
        <f>IF(OR('Step 2- Activity Inventory'!O123=6,AND('Step 2- Activity Inventory'!O123=5,E120="Genius")),'Step 1- Hrly Rate Calc'!$D$18,"")</f>
        <v/>
      </c>
      <c r="M120" s="93" t="str">
        <f t="shared" si="3"/>
        <v/>
      </c>
      <c r="N120" s="93" t="str">
        <f>IF(L120="","",IF(IFERROR((G120/60)*M120*2*'Step 1- Hrly Rate Calc'!$D$14,"")&lt;0,"N/A",IFERROR((G120/60)*M120*2*'Step 1- Hrly Rate Calc'!$D$14,"")))</f>
        <v/>
      </c>
      <c r="O120" s="77" t="str">
        <f t="shared" si="4"/>
        <v/>
      </c>
      <c r="P120" s="77" t="str">
        <f t="shared" si="5"/>
        <v/>
      </c>
    </row>
    <row r="121" spans="2:16" s="61" customFormat="1" ht="34" customHeight="1" x14ac:dyDescent="0.2">
      <c r="B121" s="77" t="str">
        <f>IF('Step 2- Activity Inventory'!B124="","",'Step 2- Activity Inventory'!B124)</f>
        <v/>
      </c>
      <c r="C121" s="77" t="str">
        <f>IF('Step 2- Activity Inventory'!C124="","",'Step 2- Activity Inventory'!C124)</f>
        <v/>
      </c>
      <c r="D121" s="88" t="str">
        <f>IF('Step 2- Activity Inventory'!E124="","",'Step 2- Activity Inventory'!E124)</f>
        <v/>
      </c>
      <c r="E121" s="88" t="str">
        <f>IF('Step 2- Activity Inventory'!F124="","",'Step 2- Activity Inventory'!F124)</f>
        <v/>
      </c>
      <c r="F121" s="88" t="str">
        <f>IF(E121="Genius","N/A",IF('Step 2- Activity Inventory'!G124="","",'Step 2- Activity Inventory'!G124))</f>
        <v/>
      </c>
      <c r="G121" s="89" t="str">
        <f>IF('Step 2- Activity Inventory'!D124="","",'Step 2- Activity Inventory'!D124)</f>
        <v/>
      </c>
      <c r="H121" s="90"/>
      <c r="I121" s="24"/>
      <c r="J121" s="24"/>
      <c r="K121" s="91"/>
      <c r="L121" s="92" t="str">
        <f>IF(OR('Step 2- Activity Inventory'!O124=6,AND('Step 2- Activity Inventory'!O124=5,E121="Genius")),'Step 1- Hrly Rate Calc'!$D$18,"")</f>
        <v/>
      </c>
      <c r="M121" s="93" t="str">
        <f t="shared" si="3"/>
        <v/>
      </c>
      <c r="N121" s="93" t="str">
        <f>IF(L121="","",IF(IFERROR((G121/60)*M121*2*'Step 1- Hrly Rate Calc'!$D$14,"")&lt;0,"N/A",IFERROR((G121/60)*M121*2*'Step 1- Hrly Rate Calc'!$D$14,"")))</f>
        <v/>
      </c>
      <c r="O121" s="77" t="str">
        <f t="shared" si="4"/>
        <v/>
      </c>
      <c r="P121" s="77" t="str">
        <f t="shared" si="5"/>
        <v/>
      </c>
    </row>
    <row r="122" spans="2:16" s="61" customFormat="1" ht="34" customHeight="1" x14ac:dyDescent="0.2">
      <c r="B122" s="77" t="str">
        <f>IF('Step 2- Activity Inventory'!B125="","",'Step 2- Activity Inventory'!B125)</f>
        <v/>
      </c>
      <c r="C122" s="77" t="str">
        <f>IF('Step 2- Activity Inventory'!C125="","",'Step 2- Activity Inventory'!C125)</f>
        <v/>
      </c>
      <c r="D122" s="88" t="str">
        <f>IF('Step 2- Activity Inventory'!E125="","",'Step 2- Activity Inventory'!E125)</f>
        <v/>
      </c>
      <c r="E122" s="88" t="str">
        <f>IF('Step 2- Activity Inventory'!F125="","",'Step 2- Activity Inventory'!F125)</f>
        <v/>
      </c>
      <c r="F122" s="88" t="str">
        <f>IF(E122="Genius","N/A",IF('Step 2- Activity Inventory'!G125="","",'Step 2- Activity Inventory'!G125))</f>
        <v/>
      </c>
      <c r="G122" s="89" t="str">
        <f>IF('Step 2- Activity Inventory'!D125="","",'Step 2- Activity Inventory'!D125)</f>
        <v/>
      </c>
      <c r="H122" s="90"/>
      <c r="I122" s="24"/>
      <c r="J122" s="24"/>
      <c r="K122" s="91"/>
      <c r="L122" s="92" t="str">
        <f>IF(OR('Step 2- Activity Inventory'!O125=6,AND('Step 2- Activity Inventory'!O125=5,E122="Genius")),'Step 1- Hrly Rate Calc'!$D$18,"")</f>
        <v/>
      </c>
      <c r="M122" s="93" t="str">
        <f t="shared" si="3"/>
        <v/>
      </c>
      <c r="N122" s="93" t="str">
        <f>IF(L122="","",IF(IFERROR((G122/60)*M122*2*'Step 1- Hrly Rate Calc'!$D$14,"")&lt;0,"N/A",IFERROR((G122/60)*M122*2*'Step 1- Hrly Rate Calc'!$D$14,"")))</f>
        <v/>
      </c>
      <c r="O122" s="77" t="str">
        <f t="shared" si="4"/>
        <v/>
      </c>
      <c r="P122" s="77" t="str">
        <f t="shared" si="5"/>
        <v/>
      </c>
    </row>
    <row r="123" spans="2:16" s="61" customFormat="1" ht="34" customHeight="1" x14ac:dyDescent="0.2">
      <c r="B123" s="77" t="str">
        <f>IF('Step 2- Activity Inventory'!B126="","",'Step 2- Activity Inventory'!B126)</f>
        <v/>
      </c>
      <c r="C123" s="77" t="str">
        <f>IF('Step 2- Activity Inventory'!C126="","",'Step 2- Activity Inventory'!C126)</f>
        <v/>
      </c>
      <c r="D123" s="88" t="str">
        <f>IF('Step 2- Activity Inventory'!E126="","",'Step 2- Activity Inventory'!E126)</f>
        <v/>
      </c>
      <c r="E123" s="88" t="str">
        <f>IF('Step 2- Activity Inventory'!F126="","",'Step 2- Activity Inventory'!F126)</f>
        <v/>
      </c>
      <c r="F123" s="88" t="str">
        <f>IF(E123="Genius","N/A",IF('Step 2- Activity Inventory'!G126="","",'Step 2- Activity Inventory'!G126))</f>
        <v/>
      </c>
      <c r="G123" s="89" t="str">
        <f>IF('Step 2- Activity Inventory'!D126="","",'Step 2- Activity Inventory'!D126)</f>
        <v/>
      </c>
      <c r="H123" s="90"/>
      <c r="I123" s="24"/>
      <c r="J123" s="24"/>
      <c r="K123" s="91"/>
      <c r="L123" s="92" t="str">
        <f>IF(OR('Step 2- Activity Inventory'!O126=6,AND('Step 2- Activity Inventory'!O126=5,E123="Genius")),'Step 1- Hrly Rate Calc'!$D$18,"")</f>
        <v/>
      </c>
      <c r="M123" s="93" t="str">
        <f t="shared" si="3"/>
        <v/>
      </c>
      <c r="N123" s="93" t="str">
        <f>IF(L123="","",IF(IFERROR((G123/60)*M123*2*'Step 1- Hrly Rate Calc'!$D$14,"")&lt;0,"N/A",IFERROR((G123/60)*M123*2*'Step 1- Hrly Rate Calc'!$D$14,"")))</f>
        <v/>
      </c>
      <c r="O123" s="77" t="str">
        <f t="shared" si="4"/>
        <v/>
      </c>
      <c r="P123" s="77" t="str">
        <f t="shared" si="5"/>
        <v/>
      </c>
    </row>
    <row r="124" spans="2:16" s="61" customFormat="1" ht="34" customHeight="1" x14ac:dyDescent="0.2">
      <c r="B124" s="77" t="str">
        <f>IF('Step 2- Activity Inventory'!B127="","",'Step 2- Activity Inventory'!B127)</f>
        <v/>
      </c>
      <c r="C124" s="77" t="str">
        <f>IF('Step 2- Activity Inventory'!C127="","",'Step 2- Activity Inventory'!C127)</f>
        <v/>
      </c>
      <c r="D124" s="88" t="str">
        <f>IF('Step 2- Activity Inventory'!E127="","",'Step 2- Activity Inventory'!E127)</f>
        <v/>
      </c>
      <c r="E124" s="88" t="str">
        <f>IF('Step 2- Activity Inventory'!F127="","",'Step 2- Activity Inventory'!F127)</f>
        <v/>
      </c>
      <c r="F124" s="88" t="str">
        <f>IF(E124="Genius","N/A",IF('Step 2- Activity Inventory'!G127="","",'Step 2- Activity Inventory'!G127))</f>
        <v/>
      </c>
      <c r="G124" s="89" t="str">
        <f>IF('Step 2- Activity Inventory'!D127="","",'Step 2- Activity Inventory'!D127)</f>
        <v/>
      </c>
      <c r="H124" s="90"/>
      <c r="I124" s="24"/>
      <c r="J124" s="24"/>
      <c r="K124" s="91"/>
      <c r="L124" s="92" t="str">
        <f>IF(OR('Step 2- Activity Inventory'!O127=6,AND('Step 2- Activity Inventory'!O127=5,E124="Genius")),'Step 1- Hrly Rate Calc'!$D$18,"")</f>
        <v/>
      </c>
      <c r="M124" s="93" t="str">
        <f t="shared" si="3"/>
        <v/>
      </c>
      <c r="N124" s="93" t="str">
        <f>IF(L124="","",IF(IFERROR((G124/60)*M124*2*'Step 1- Hrly Rate Calc'!$D$14,"")&lt;0,"N/A",IFERROR((G124/60)*M124*2*'Step 1- Hrly Rate Calc'!$D$14,"")))</f>
        <v/>
      </c>
      <c r="O124" s="77" t="str">
        <f t="shared" si="4"/>
        <v/>
      </c>
      <c r="P124" s="77" t="str">
        <f t="shared" si="5"/>
        <v/>
      </c>
    </row>
    <row r="125" spans="2:16" s="61" customFormat="1" ht="34" customHeight="1" x14ac:dyDescent="0.2">
      <c r="B125" s="77" t="str">
        <f>IF('Step 2- Activity Inventory'!B128="","",'Step 2- Activity Inventory'!B128)</f>
        <v/>
      </c>
      <c r="C125" s="77" t="str">
        <f>IF('Step 2- Activity Inventory'!C128="","",'Step 2- Activity Inventory'!C128)</f>
        <v/>
      </c>
      <c r="D125" s="88" t="str">
        <f>IF('Step 2- Activity Inventory'!E128="","",'Step 2- Activity Inventory'!E128)</f>
        <v/>
      </c>
      <c r="E125" s="88" t="str">
        <f>IF('Step 2- Activity Inventory'!F128="","",'Step 2- Activity Inventory'!F128)</f>
        <v/>
      </c>
      <c r="F125" s="88" t="str">
        <f>IF(E125="Genius","N/A",IF('Step 2- Activity Inventory'!G128="","",'Step 2- Activity Inventory'!G128))</f>
        <v/>
      </c>
      <c r="G125" s="89" t="str">
        <f>IF('Step 2- Activity Inventory'!D128="","",'Step 2- Activity Inventory'!D128)</f>
        <v/>
      </c>
      <c r="H125" s="90"/>
      <c r="I125" s="24"/>
      <c r="J125" s="24"/>
      <c r="K125" s="91"/>
      <c r="L125" s="92" t="str">
        <f>IF(OR('Step 2- Activity Inventory'!O128=6,AND('Step 2- Activity Inventory'!O128=5,E125="Genius")),'Step 1- Hrly Rate Calc'!$D$18,"")</f>
        <v/>
      </c>
      <c r="M125" s="93" t="str">
        <f t="shared" si="3"/>
        <v/>
      </c>
      <c r="N125" s="93" t="str">
        <f>IF(L125="","",IF(IFERROR((G125/60)*M125*2*'Step 1- Hrly Rate Calc'!$D$14,"")&lt;0,"N/A",IFERROR((G125/60)*M125*2*'Step 1- Hrly Rate Calc'!$D$14,"")))</f>
        <v/>
      </c>
      <c r="O125" s="77" t="str">
        <f t="shared" si="4"/>
        <v/>
      </c>
      <c r="P125" s="77" t="str">
        <f t="shared" si="5"/>
        <v/>
      </c>
    </row>
    <row r="126" spans="2:16" s="61" customFormat="1" ht="34" customHeight="1" x14ac:dyDescent="0.2">
      <c r="B126" s="77" t="str">
        <f>IF('Step 2- Activity Inventory'!B129="","",'Step 2- Activity Inventory'!B129)</f>
        <v/>
      </c>
      <c r="C126" s="77" t="str">
        <f>IF('Step 2- Activity Inventory'!C129="","",'Step 2- Activity Inventory'!C129)</f>
        <v/>
      </c>
      <c r="D126" s="88" t="str">
        <f>IF('Step 2- Activity Inventory'!E129="","",'Step 2- Activity Inventory'!E129)</f>
        <v/>
      </c>
      <c r="E126" s="88" t="str">
        <f>IF('Step 2- Activity Inventory'!F129="","",'Step 2- Activity Inventory'!F129)</f>
        <v/>
      </c>
      <c r="F126" s="88" t="str">
        <f>IF(E126="Genius","N/A",IF('Step 2- Activity Inventory'!G129="","",'Step 2- Activity Inventory'!G129))</f>
        <v/>
      </c>
      <c r="G126" s="89" t="str">
        <f>IF('Step 2- Activity Inventory'!D129="","",'Step 2- Activity Inventory'!D129)</f>
        <v/>
      </c>
      <c r="H126" s="90"/>
      <c r="I126" s="24"/>
      <c r="J126" s="24"/>
      <c r="K126" s="91"/>
      <c r="L126" s="92" t="str">
        <f>IF(OR('Step 2- Activity Inventory'!O129=6,AND('Step 2- Activity Inventory'!O129=5,E126="Genius")),'Step 1- Hrly Rate Calc'!$D$18,"")</f>
        <v/>
      </c>
      <c r="M126" s="93" t="str">
        <f t="shared" si="3"/>
        <v/>
      </c>
      <c r="N126" s="93" t="str">
        <f>IF(L126="","",IF(IFERROR((G126/60)*M126*2*'Step 1- Hrly Rate Calc'!$D$14,"")&lt;0,"N/A",IFERROR((G126/60)*M126*2*'Step 1- Hrly Rate Calc'!$D$14,"")))</f>
        <v/>
      </c>
      <c r="O126" s="77" t="str">
        <f t="shared" si="4"/>
        <v/>
      </c>
      <c r="P126" s="77" t="str">
        <f t="shared" si="5"/>
        <v/>
      </c>
    </row>
    <row r="127" spans="2:16" s="61" customFormat="1" ht="34" customHeight="1" x14ac:dyDescent="0.2">
      <c r="B127" s="77" t="str">
        <f>IF('Step 2- Activity Inventory'!B130="","",'Step 2- Activity Inventory'!B130)</f>
        <v/>
      </c>
      <c r="C127" s="77" t="str">
        <f>IF('Step 2- Activity Inventory'!C130="","",'Step 2- Activity Inventory'!C130)</f>
        <v/>
      </c>
      <c r="D127" s="88" t="str">
        <f>IF('Step 2- Activity Inventory'!E130="","",'Step 2- Activity Inventory'!E130)</f>
        <v/>
      </c>
      <c r="E127" s="88" t="str">
        <f>IF('Step 2- Activity Inventory'!F130="","",'Step 2- Activity Inventory'!F130)</f>
        <v/>
      </c>
      <c r="F127" s="88" t="str">
        <f>IF(E127="Genius","N/A",IF('Step 2- Activity Inventory'!G130="","",'Step 2- Activity Inventory'!G130))</f>
        <v/>
      </c>
      <c r="G127" s="89" t="str">
        <f>IF('Step 2- Activity Inventory'!D130="","",'Step 2- Activity Inventory'!D130)</f>
        <v/>
      </c>
      <c r="H127" s="90"/>
      <c r="I127" s="24"/>
      <c r="J127" s="24"/>
      <c r="K127" s="91"/>
      <c r="L127" s="92" t="str">
        <f>IF(OR('Step 2- Activity Inventory'!O130=6,AND('Step 2- Activity Inventory'!O130=5,E127="Genius")),'Step 1- Hrly Rate Calc'!$D$18,"")</f>
        <v/>
      </c>
      <c r="M127" s="93" t="str">
        <f t="shared" si="3"/>
        <v/>
      </c>
      <c r="N127" s="93" t="str">
        <f>IF(L127="","",IF(IFERROR((G127/60)*M127*2*'Step 1- Hrly Rate Calc'!$D$14,"")&lt;0,"N/A",IFERROR((G127/60)*M127*2*'Step 1- Hrly Rate Calc'!$D$14,"")))</f>
        <v/>
      </c>
      <c r="O127" s="77" t="str">
        <f t="shared" si="4"/>
        <v/>
      </c>
      <c r="P127" s="77" t="str">
        <f t="shared" si="5"/>
        <v/>
      </c>
    </row>
    <row r="128" spans="2:16" s="61" customFormat="1" ht="34" customHeight="1" x14ac:dyDescent="0.2">
      <c r="B128" s="77" t="str">
        <f>IF('Step 2- Activity Inventory'!B131="","",'Step 2- Activity Inventory'!B131)</f>
        <v/>
      </c>
      <c r="C128" s="77" t="str">
        <f>IF('Step 2- Activity Inventory'!C131="","",'Step 2- Activity Inventory'!C131)</f>
        <v/>
      </c>
      <c r="D128" s="88" t="str">
        <f>IF('Step 2- Activity Inventory'!E131="","",'Step 2- Activity Inventory'!E131)</f>
        <v/>
      </c>
      <c r="E128" s="88" t="str">
        <f>IF('Step 2- Activity Inventory'!F131="","",'Step 2- Activity Inventory'!F131)</f>
        <v/>
      </c>
      <c r="F128" s="88" t="str">
        <f>IF(E128="Genius","N/A",IF('Step 2- Activity Inventory'!G131="","",'Step 2- Activity Inventory'!G131))</f>
        <v/>
      </c>
      <c r="G128" s="89" t="str">
        <f>IF('Step 2- Activity Inventory'!D131="","",'Step 2- Activity Inventory'!D131)</f>
        <v/>
      </c>
      <c r="H128" s="90"/>
      <c r="I128" s="24"/>
      <c r="J128" s="24"/>
      <c r="K128" s="91"/>
      <c r="L128" s="92" t="str">
        <f>IF(OR('Step 2- Activity Inventory'!O131=6,AND('Step 2- Activity Inventory'!O131=5,E128="Genius")),'Step 1- Hrly Rate Calc'!$D$18,"")</f>
        <v/>
      </c>
      <c r="M128" s="93" t="str">
        <f t="shared" si="3"/>
        <v/>
      </c>
      <c r="N128" s="93" t="str">
        <f>IF(L128="","",IF(IFERROR((G128/60)*M128*2*'Step 1- Hrly Rate Calc'!$D$14,"")&lt;0,"N/A",IFERROR((G128/60)*M128*2*'Step 1- Hrly Rate Calc'!$D$14,"")))</f>
        <v/>
      </c>
      <c r="O128" s="77" t="str">
        <f t="shared" si="4"/>
        <v/>
      </c>
      <c r="P128" s="77" t="str">
        <f t="shared" si="5"/>
        <v/>
      </c>
    </row>
    <row r="129" spans="2:16" s="61" customFormat="1" ht="34" customHeight="1" x14ac:dyDescent="0.2">
      <c r="B129" s="77" t="str">
        <f>IF('Step 2- Activity Inventory'!B132="","",'Step 2- Activity Inventory'!B132)</f>
        <v/>
      </c>
      <c r="C129" s="77" t="str">
        <f>IF('Step 2- Activity Inventory'!C132="","",'Step 2- Activity Inventory'!C132)</f>
        <v/>
      </c>
      <c r="D129" s="88" t="str">
        <f>IF('Step 2- Activity Inventory'!E132="","",'Step 2- Activity Inventory'!E132)</f>
        <v/>
      </c>
      <c r="E129" s="88" t="str">
        <f>IF('Step 2- Activity Inventory'!F132="","",'Step 2- Activity Inventory'!F132)</f>
        <v/>
      </c>
      <c r="F129" s="88" t="str">
        <f>IF(E129="Genius","N/A",IF('Step 2- Activity Inventory'!G132="","",'Step 2- Activity Inventory'!G132))</f>
        <v/>
      </c>
      <c r="G129" s="89" t="str">
        <f>IF('Step 2- Activity Inventory'!D132="","",'Step 2- Activity Inventory'!D132)</f>
        <v/>
      </c>
      <c r="H129" s="90"/>
      <c r="I129" s="24"/>
      <c r="J129" s="24"/>
      <c r="K129" s="91"/>
      <c r="L129" s="92" t="str">
        <f>IF(OR('Step 2- Activity Inventory'!O132=6,AND('Step 2- Activity Inventory'!O132=5,E129="Genius")),'Step 1- Hrly Rate Calc'!$D$18,"")</f>
        <v/>
      </c>
      <c r="M129" s="93" t="str">
        <f t="shared" si="3"/>
        <v/>
      </c>
      <c r="N129" s="93" t="str">
        <f>IF(L129="","",IF(IFERROR((G129/60)*M129*2*'Step 1- Hrly Rate Calc'!$D$14,"")&lt;0,"N/A",IFERROR((G129/60)*M129*2*'Step 1- Hrly Rate Calc'!$D$14,"")))</f>
        <v/>
      </c>
      <c r="O129" s="77" t="str">
        <f t="shared" si="4"/>
        <v/>
      </c>
      <c r="P129" s="77" t="str">
        <f t="shared" si="5"/>
        <v/>
      </c>
    </row>
    <row r="130" spans="2:16" s="61" customFormat="1" ht="34" customHeight="1" x14ac:dyDescent="0.2">
      <c r="B130" s="77" t="str">
        <f>IF('Step 2- Activity Inventory'!B133="","",'Step 2- Activity Inventory'!B133)</f>
        <v/>
      </c>
      <c r="C130" s="77" t="str">
        <f>IF('Step 2- Activity Inventory'!C133="","",'Step 2- Activity Inventory'!C133)</f>
        <v/>
      </c>
      <c r="D130" s="88" t="str">
        <f>IF('Step 2- Activity Inventory'!E133="","",'Step 2- Activity Inventory'!E133)</f>
        <v/>
      </c>
      <c r="E130" s="88" t="str">
        <f>IF('Step 2- Activity Inventory'!F133="","",'Step 2- Activity Inventory'!F133)</f>
        <v/>
      </c>
      <c r="F130" s="88" t="str">
        <f>IF(E130="Genius","N/A",IF('Step 2- Activity Inventory'!G133="","",'Step 2- Activity Inventory'!G133))</f>
        <v/>
      </c>
      <c r="G130" s="89" t="str">
        <f>IF('Step 2- Activity Inventory'!D133="","",'Step 2- Activity Inventory'!D133)</f>
        <v/>
      </c>
      <c r="H130" s="90"/>
      <c r="I130" s="24"/>
      <c r="J130" s="24"/>
      <c r="K130" s="91"/>
      <c r="L130" s="92" t="str">
        <f>IF(OR('Step 2- Activity Inventory'!O133=6,AND('Step 2- Activity Inventory'!O133=5,E130="Genius")),'Step 1- Hrly Rate Calc'!$D$18,"")</f>
        <v/>
      </c>
      <c r="M130" s="93" t="str">
        <f t="shared" si="3"/>
        <v/>
      </c>
      <c r="N130" s="93" t="str">
        <f>IF(L130="","",IF(IFERROR((G130/60)*M130*2*'Step 1- Hrly Rate Calc'!$D$14,"")&lt;0,"N/A",IFERROR((G130/60)*M130*2*'Step 1- Hrly Rate Calc'!$D$14,"")))</f>
        <v/>
      </c>
      <c r="O130" s="77" t="str">
        <f t="shared" si="4"/>
        <v/>
      </c>
      <c r="P130" s="77" t="str">
        <f t="shared" si="5"/>
        <v/>
      </c>
    </row>
    <row r="131" spans="2:16" s="61" customFormat="1" ht="34" customHeight="1" x14ac:dyDescent="0.2">
      <c r="B131" s="77" t="str">
        <f>IF('Step 2- Activity Inventory'!B134="","",'Step 2- Activity Inventory'!B134)</f>
        <v/>
      </c>
      <c r="C131" s="77" t="str">
        <f>IF('Step 2- Activity Inventory'!C134="","",'Step 2- Activity Inventory'!C134)</f>
        <v/>
      </c>
      <c r="D131" s="88" t="str">
        <f>IF('Step 2- Activity Inventory'!E134="","",'Step 2- Activity Inventory'!E134)</f>
        <v/>
      </c>
      <c r="E131" s="88" t="str">
        <f>IF('Step 2- Activity Inventory'!F134="","",'Step 2- Activity Inventory'!F134)</f>
        <v/>
      </c>
      <c r="F131" s="88" t="str">
        <f>IF(E131="Genius","N/A",IF('Step 2- Activity Inventory'!G134="","",'Step 2- Activity Inventory'!G134))</f>
        <v/>
      </c>
      <c r="G131" s="89" t="str">
        <f>IF('Step 2- Activity Inventory'!D134="","",'Step 2- Activity Inventory'!D134)</f>
        <v/>
      </c>
      <c r="H131" s="90"/>
      <c r="I131" s="24"/>
      <c r="J131" s="24"/>
      <c r="K131" s="91"/>
      <c r="L131" s="92" t="str">
        <f>IF(OR('Step 2- Activity Inventory'!O134=6,AND('Step 2- Activity Inventory'!O134=5,E131="Genius")),'Step 1- Hrly Rate Calc'!$D$18,"")</f>
        <v/>
      </c>
      <c r="M131" s="93" t="str">
        <f t="shared" si="3"/>
        <v/>
      </c>
      <c r="N131" s="93" t="str">
        <f>IF(L131="","",IF(IFERROR((G131/60)*M131*2*'Step 1- Hrly Rate Calc'!$D$14,"")&lt;0,"N/A",IFERROR((G131/60)*M131*2*'Step 1- Hrly Rate Calc'!$D$14,"")))</f>
        <v/>
      </c>
      <c r="O131" s="77" t="str">
        <f t="shared" si="4"/>
        <v/>
      </c>
      <c r="P131" s="77" t="str">
        <f t="shared" si="5"/>
        <v/>
      </c>
    </row>
    <row r="132" spans="2:16" s="61" customFormat="1" ht="34" customHeight="1" x14ac:dyDescent="0.2">
      <c r="B132" s="77" t="str">
        <f>IF('Step 2- Activity Inventory'!B135="","",'Step 2- Activity Inventory'!B135)</f>
        <v/>
      </c>
      <c r="C132" s="77" t="str">
        <f>IF('Step 2- Activity Inventory'!C135="","",'Step 2- Activity Inventory'!C135)</f>
        <v/>
      </c>
      <c r="D132" s="88" t="str">
        <f>IF('Step 2- Activity Inventory'!E135="","",'Step 2- Activity Inventory'!E135)</f>
        <v/>
      </c>
      <c r="E132" s="88" t="str">
        <f>IF('Step 2- Activity Inventory'!F135="","",'Step 2- Activity Inventory'!F135)</f>
        <v/>
      </c>
      <c r="F132" s="88" t="str">
        <f>IF(E132="Genius","N/A",IF('Step 2- Activity Inventory'!G135="","",'Step 2- Activity Inventory'!G135))</f>
        <v/>
      </c>
      <c r="G132" s="89" t="str">
        <f>IF('Step 2- Activity Inventory'!D135="","",'Step 2- Activity Inventory'!D135)</f>
        <v/>
      </c>
      <c r="H132" s="90"/>
      <c r="I132" s="24"/>
      <c r="J132" s="24"/>
      <c r="K132" s="91"/>
      <c r="L132" s="92" t="str">
        <f>IF(OR('Step 2- Activity Inventory'!O135=6,AND('Step 2- Activity Inventory'!O135=5,E132="Genius")),'Step 1- Hrly Rate Calc'!$D$18,"")</f>
        <v/>
      </c>
      <c r="M132" s="93" t="str">
        <f t="shared" si="3"/>
        <v/>
      </c>
      <c r="N132" s="93" t="str">
        <f>IF(L132="","",IF(IFERROR((G132/60)*M132*2*'Step 1- Hrly Rate Calc'!$D$14,"")&lt;0,"N/A",IFERROR((G132/60)*M132*2*'Step 1- Hrly Rate Calc'!$D$14,"")))</f>
        <v/>
      </c>
      <c r="O132" s="77" t="str">
        <f t="shared" si="4"/>
        <v/>
      </c>
      <c r="P132" s="77" t="str">
        <f t="shared" si="5"/>
        <v/>
      </c>
    </row>
    <row r="133" spans="2:16" s="61" customFormat="1" ht="34" customHeight="1" x14ac:dyDescent="0.2">
      <c r="B133" s="77" t="str">
        <f>IF('Step 2- Activity Inventory'!B136="","",'Step 2- Activity Inventory'!B136)</f>
        <v/>
      </c>
      <c r="C133" s="77" t="str">
        <f>IF('Step 2- Activity Inventory'!C136="","",'Step 2- Activity Inventory'!C136)</f>
        <v/>
      </c>
      <c r="D133" s="88" t="str">
        <f>IF('Step 2- Activity Inventory'!E136="","",'Step 2- Activity Inventory'!E136)</f>
        <v/>
      </c>
      <c r="E133" s="88" t="str">
        <f>IF('Step 2- Activity Inventory'!F136="","",'Step 2- Activity Inventory'!F136)</f>
        <v/>
      </c>
      <c r="F133" s="88" t="str">
        <f>IF(E133="Genius","N/A",IF('Step 2- Activity Inventory'!G136="","",'Step 2- Activity Inventory'!G136))</f>
        <v/>
      </c>
      <c r="G133" s="89" t="str">
        <f>IF('Step 2- Activity Inventory'!D136="","",'Step 2- Activity Inventory'!D136)</f>
        <v/>
      </c>
      <c r="H133" s="90"/>
      <c r="I133" s="24"/>
      <c r="J133" s="24"/>
      <c r="K133" s="91"/>
      <c r="L133" s="92" t="str">
        <f>IF(OR('Step 2- Activity Inventory'!O136=6,AND('Step 2- Activity Inventory'!O136=5,E133="Genius")),'Step 1- Hrly Rate Calc'!$D$18,"")</f>
        <v/>
      </c>
      <c r="M133" s="93" t="str">
        <f t="shared" si="3"/>
        <v/>
      </c>
      <c r="N133" s="93" t="str">
        <f>IF(L133="","",IF(IFERROR((G133/60)*M133*2*'Step 1- Hrly Rate Calc'!$D$14,"")&lt;0,"N/A",IFERROR((G133/60)*M133*2*'Step 1- Hrly Rate Calc'!$D$14,"")))</f>
        <v/>
      </c>
      <c r="O133" s="77" t="str">
        <f t="shared" si="4"/>
        <v/>
      </c>
      <c r="P133" s="77" t="str">
        <f t="shared" si="5"/>
        <v/>
      </c>
    </row>
    <row r="134" spans="2:16" s="61" customFormat="1" ht="34" customHeight="1" x14ac:dyDescent="0.2">
      <c r="B134" s="77" t="str">
        <f>IF('Step 2- Activity Inventory'!B137="","",'Step 2- Activity Inventory'!B137)</f>
        <v/>
      </c>
      <c r="C134" s="77" t="str">
        <f>IF('Step 2- Activity Inventory'!C137="","",'Step 2- Activity Inventory'!C137)</f>
        <v/>
      </c>
      <c r="D134" s="88" t="str">
        <f>IF('Step 2- Activity Inventory'!E137="","",'Step 2- Activity Inventory'!E137)</f>
        <v/>
      </c>
      <c r="E134" s="88" t="str">
        <f>IF('Step 2- Activity Inventory'!F137="","",'Step 2- Activity Inventory'!F137)</f>
        <v/>
      </c>
      <c r="F134" s="88" t="str">
        <f>IF(E134="Genius","N/A",IF('Step 2- Activity Inventory'!G137="","",'Step 2- Activity Inventory'!G137))</f>
        <v/>
      </c>
      <c r="G134" s="89" t="str">
        <f>IF('Step 2- Activity Inventory'!D137="","",'Step 2- Activity Inventory'!D137)</f>
        <v/>
      </c>
      <c r="H134" s="90"/>
      <c r="I134" s="24"/>
      <c r="J134" s="24"/>
      <c r="K134" s="91"/>
      <c r="L134" s="92" t="str">
        <f>IF(OR('Step 2- Activity Inventory'!O137=6,AND('Step 2- Activity Inventory'!O137=5,E134="Genius")),'Step 1- Hrly Rate Calc'!$D$18,"")</f>
        <v/>
      </c>
      <c r="M134" s="93" t="str">
        <f t="shared" si="3"/>
        <v/>
      </c>
      <c r="N134" s="93" t="str">
        <f>IF(L134="","",IF(IFERROR((G134/60)*M134*2*'Step 1- Hrly Rate Calc'!$D$14,"")&lt;0,"N/A",IFERROR((G134/60)*M134*2*'Step 1- Hrly Rate Calc'!$D$14,"")))</f>
        <v/>
      </c>
      <c r="O134" s="77" t="str">
        <f t="shared" si="4"/>
        <v/>
      </c>
      <c r="P134" s="77" t="str">
        <f t="shared" si="5"/>
        <v/>
      </c>
    </row>
    <row r="135" spans="2:16" s="61" customFormat="1" ht="34" customHeight="1" x14ac:dyDescent="0.2">
      <c r="B135" s="77" t="str">
        <f>IF('Step 2- Activity Inventory'!B138="","",'Step 2- Activity Inventory'!B138)</f>
        <v/>
      </c>
      <c r="C135" s="77" t="str">
        <f>IF('Step 2- Activity Inventory'!C138="","",'Step 2- Activity Inventory'!C138)</f>
        <v/>
      </c>
      <c r="D135" s="88" t="str">
        <f>IF('Step 2- Activity Inventory'!E138="","",'Step 2- Activity Inventory'!E138)</f>
        <v/>
      </c>
      <c r="E135" s="88" t="str">
        <f>IF('Step 2- Activity Inventory'!F138="","",'Step 2- Activity Inventory'!F138)</f>
        <v/>
      </c>
      <c r="F135" s="88" t="str">
        <f>IF(E135="Genius","N/A",IF('Step 2- Activity Inventory'!G138="","",'Step 2- Activity Inventory'!G138))</f>
        <v/>
      </c>
      <c r="G135" s="89" t="str">
        <f>IF('Step 2- Activity Inventory'!D138="","",'Step 2- Activity Inventory'!D138)</f>
        <v/>
      </c>
      <c r="H135" s="90"/>
      <c r="I135" s="24"/>
      <c r="J135" s="24"/>
      <c r="K135" s="91"/>
      <c r="L135" s="92" t="str">
        <f>IF(OR('Step 2- Activity Inventory'!O138=6,AND('Step 2- Activity Inventory'!O138=5,E135="Genius")),'Step 1- Hrly Rate Calc'!$D$18,"")</f>
        <v/>
      </c>
      <c r="M135" s="93" t="str">
        <f t="shared" si="3"/>
        <v/>
      </c>
      <c r="N135" s="93" t="str">
        <f>IF(L135="","",IF(IFERROR((G135/60)*M135*2*'Step 1- Hrly Rate Calc'!$D$14,"")&lt;0,"N/A",IFERROR((G135/60)*M135*2*'Step 1- Hrly Rate Calc'!$D$14,"")))</f>
        <v/>
      </c>
      <c r="O135" s="77" t="str">
        <f t="shared" si="4"/>
        <v/>
      </c>
      <c r="P135" s="77" t="str">
        <f t="shared" si="5"/>
        <v/>
      </c>
    </row>
    <row r="136" spans="2:16" s="61" customFormat="1" ht="34" customHeight="1" x14ac:dyDescent="0.2">
      <c r="B136" s="77" t="str">
        <f>IF('Step 2- Activity Inventory'!B139="","",'Step 2- Activity Inventory'!B139)</f>
        <v/>
      </c>
      <c r="C136" s="77" t="str">
        <f>IF('Step 2- Activity Inventory'!C139="","",'Step 2- Activity Inventory'!C139)</f>
        <v/>
      </c>
      <c r="D136" s="88" t="str">
        <f>IF('Step 2- Activity Inventory'!E139="","",'Step 2- Activity Inventory'!E139)</f>
        <v/>
      </c>
      <c r="E136" s="88" t="str">
        <f>IF('Step 2- Activity Inventory'!F139="","",'Step 2- Activity Inventory'!F139)</f>
        <v/>
      </c>
      <c r="F136" s="88" t="str">
        <f>IF(E136="Genius","N/A",IF('Step 2- Activity Inventory'!G139="","",'Step 2- Activity Inventory'!G139))</f>
        <v/>
      </c>
      <c r="G136" s="89" t="str">
        <f>IF('Step 2- Activity Inventory'!D139="","",'Step 2- Activity Inventory'!D139)</f>
        <v/>
      </c>
      <c r="H136" s="90"/>
      <c r="I136" s="24"/>
      <c r="J136" s="24"/>
      <c r="K136" s="91"/>
      <c r="L136" s="92" t="str">
        <f>IF(OR('Step 2- Activity Inventory'!O139=6,AND('Step 2- Activity Inventory'!O139=5,E136="Genius")),'Step 1- Hrly Rate Calc'!$D$18,"")</f>
        <v/>
      </c>
      <c r="M136" s="93" t="str">
        <f t="shared" si="3"/>
        <v/>
      </c>
      <c r="N136" s="93" t="str">
        <f>IF(L136="","",IF(IFERROR((G136/60)*M136*2*'Step 1- Hrly Rate Calc'!$D$14,"")&lt;0,"N/A",IFERROR((G136/60)*M136*2*'Step 1- Hrly Rate Calc'!$D$14,"")))</f>
        <v/>
      </c>
      <c r="O136" s="77" t="str">
        <f t="shared" si="4"/>
        <v/>
      </c>
      <c r="P136" s="77" t="str">
        <f t="shared" si="5"/>
        <v/>
      </c>
    </row>
    <row r="137" spans="2:16" s="61" customFormat="1" ht="34" customHeight="1" x14ac:dyDescent="0.2">
      <c r="B137" s="77" t="str">
        <f>IF('Step 2- Activity Inventory'!B140="","",'Step 2- Activity Inventory'!B140)</f>
        <v/>
      </c>
      <c r="C137" s="77" t="str">
        <f>IF('Step 2- Activity Inventory'!C140="","",'Step 2- Activity Inventory'!C140)</f>
        <v/>
      </c>
      <c r="D137" s="88" t="str">
        <f>IF('Step 2- Activity Inventory'!E140="","",'Step 2- Activity Inventory'!E140)</f>
        <v/>
      </c>
      <c r="E137" s="88" t="str">
        <f>IF('Step 2- Activity Inventory'!F140="","",'Step 2- Activity Inventory'!F140)</f>
        <v/>
      </c>
      <c r="F137" s="88" t="str">
        <f>IF(E137="Genius","N/A",IF('Step 2- Activity Inventory'!G140="","",'Step 2- Activity Inventory'!G140))</f>
        <v/>
      </c>
      <c r="G137" s="89" t="str">
        <f>IF('Step 2- Activity Inventory'!D140="","",'Step 2- Activity Inventory'!D140)</f>
        <v/>
      </c>
      <c r="H137" s="90"/>
      <c r="I137" s="24"/>
      <c r="J137" s="24"/>
      <c r="K137" s="91"/>
      <c r="L137" s="92" t="str">
        <f>IF(OR('Step 2- Activity Inventory'!O140=6,AND('Step 2- Activity Inventory'!O140=5,E137="Genius")),'Step 1- Hrly Rate Calc'!$D$18,"")</f>
        <v/>
      </c>
      <c r="M137" s="93" t="str">
        <f t="shared" ref="M137:M200" si="6">IF(B137="","",IFERROR(K137-L137,""))</f>
        <v/>
      </c>
      <c r="N137" s="93" t="str">
        <f>IF(L137="","",IF(IFERROR((G137/60)*M137*2*'Step 1- Hrly Rate Calc'!$D$14,"")&lt;0,"N/A",IFERROR((G137/60)*M137*2*'Step 1- Hrly Rate Calc'!$D$14,"")))</f>
        <v/>
      </c>
      <c r="O137" s="77" t="str">
        <f t="shared" ref="O137:O200" si="7">IF(E137="Genius","KEEP DOING",IF(L137="","",IF(K137&gt;(L137*0.75),"KEEP DOING","STOP DOING")))</f>
        <v/>
      </c>
      <c r="P137" s="77" t="str">
        <f t="shared" ref="P137:P200" si="8">IF(L137="","",IF(O137="STOP DOING",IF(J137="Yes","Ready to Stop Doing","Not Ready"),"N/A"))</f>
        <v/>
      </c>
    </row>
    <row r="138" spans="2:16" s="61" customFormat="1" ht="34" customHeight="1" x14ac:dyDescent="0.2">
      <c r="B138" s="77" t="str">
        <f>IF('Step 2- Activity Inventory'!B141="","",'Step 2- Activity Inventory'!B141)</f>
        <v/>
      </c>
      <c r="C138" s="77" t="str">
        <f>IF('Step 2- Activity Inventory'!C141="","",'Step 2- Activity Inventory'!C141)</f>
        <v/>
      </c>
      <c r="D138" s="88" t="str">
        <f>IF('Step 2- Activity Inventory'!E141="","",'Step 2- Activity Inventory'!E141)</f>
        <v/>
      </c>
      <c r="E138" s="88" t="str">
        <f>IF('Step 2- Activity Inventory'!F141="","",'Step 2- Activity Inventory'!F141)</f>
        <v/>
      </c>
      <c r="F138" s="88" t="str">
        <f>IF(E138="Genius","N/A",IF('Step 2- Activity Inventory'!G141="","",'Step 2- Activity Inventory'!G141))</f>
        <v/>
      </c>
      <c r="G138" s="89" t="str">
        <f>IF('Step 2- Activity Inventory'!D141="","",'Step 2- Activity Inventory'!D141)</f>
        <v/>
      </c>
      <c r="H138" s="90"/>
      <c r="I138" s="24"/>
      <c r="J138" s="24"/>
      <c r="K138" s="91"/>
      <c r="L138" s="92" t="str">
        <f>IF(OR('Step 2- Activity Inventory'!O141=6,AND('Step 2- Activity Inventory'!O141=5,E138="Genius")),'Step 1- Hrly Rate Calc'!$D$18,"")</f>
        <v/>
      </c>
      <c r="M138" s="93" t="str">
        <f t="shared" si="6"/>
        <v/>
      </c>
      <c r="N138" s="93" t="str">
        <f>IF(L138="","",IF(IFERROR((G138/60)*M138*2*'Step 1- Hrly Rate Calc'!$D$14,"")&lt;0,"N/A",IFERROR((G138/60)*M138*2*'Step 1- Hrly Rate Calc'!$D$14,"")))</f>
        <v/>
      </c>
      <c r="O138" s="77" t="str">
        <f t="shared" si="7"/>
        <v/>
      </c>
      <c r="P138" s="77" t="str">
        <f t="shared" si="8"/>
        <v/>
      </c>
    </row>
    <row r="139" spans="2:16" s="61" customFormat="1" ht="34" customHeight="1" x14ac:dyDescent="0.2">
      <c r="B139" s="77" t="str">
        <f>IF('Step 2- Activity Inventory'!B142="","",'Step 2- Activity Inventory'!B142)</f>
        <v/>
      </c>
      <c r="C139" s="77" t="str">
        <f>IF('Step 2- Activity Inventory'!C142="","",'Step 2- Activity Inventory'!C142)</f>
        <v/>
      </c>
      <c r="D139" s="88" t="str">
        <f>IF('Step 2- Activity Inventory'!E142="","",'Step 2- Activity Inventory'!E142)</f>
        <v/>
      </c>
      <c r="E139" s="88" t="str">
        <f>IF('Step 2- Activity Inventory'!F142="","",'Step 2- Activity Inventory'!F142)</f>
        <v/>
      </c>
      <c r="F139" s="88" t="str">
        <f>IF(E139="Genius","N/A",IF('Step 2- Activity Inventory'!G142="","",'Step 2- Activity Inventory'!G142))</f>
        <v/>
      </c>
      <c r="G139" s="89" t="str">
        <f>IF('Step 2- Activity Inventory'!D142="","",'Step 2- Activity Inventory'!D142)</f>
        <v/>
      </c>
      <c r="H139" s="90"/>
      <c r="I139" s="24"/>
      <c r="J139" s="24"/>
      <c r="K139" s="91"/>
      <c r="L139" s="92" t="str">
        <f>IF(OR('Step 2- Activity Inventory'!O142=6,AND('Step 2- Activity Inventory'!O142=5,E139="Genius")),'Step 1- Hrly Rate Calc'!$D$18,"")</f>
        <v/>
      </c>
      <c r="M139" s="93" t="str">
        <f t="shared" si="6"/>
        <v/>
      </c>
      <c r="N139" s="93" t="str">
        <f>IF(L139="","",IF(IFERROR((G139/60)*M139*2*'Step 1- Hrly Rate Calc'!$D$14,"")&lt;0,"N/A",IFERROR((G139/60)*M139*2*'Step 1- Hrly Rate Calc'!$D$14,"")))</f>
        <v/>
      </c>
      <c r="O139" s="77" t="str">
        <f t="shared" si="7"/>
        <v/>
      </c>
      <c r="P139" s="77" t="str">
        <f t="shared" si="8"/>
        <v/>
      </c>
    </row>
    <row r="140" spans="2:16" s="61" customFormat="1" ht="34" customHeight="1" x14ac:dyDescent="0.2">
      <c r="B140" s="77" t="str">
        <f>IF('Step 2- Activity Inventory'!B143="","",'Step 2- Activity Inventory'!B143)</f>
        <v/>
      </c>
      <c r="C140" s="77" t="str">
        <f>IF('Step 2- Activity Inventory'!C143="","",'Step 2- Activity Inventory'!C143)</f>
        <v/>
      </c>
      <c r="D140" s="88" t="str">
        <f>IF('Step 2- Activity Inventory'!E143="","",'Step 2- Activity Inventory'!E143)</f>
        <v/>
      </c>
      <c r="E140" s="88" t="str">
        <f>IF('Step 2- Activity Inventory'!F143="","",'Step 2- Activity Inventory'!F143)</f>
        <v/>
      </c>
      <c r="F140" s="88" t="str">
        <f>IF(E140="Genius","N/A",IF('Step 2- Activity Inventory'!G143="","",'Step 2- Activity Inventory'!G143))</f>
        <v/>
      </c>
      <c r="G140" s="89" t="str">
        <f>IF('Step 2- Activity Inventory'!D143="","",'Step 2- Activity Inventory'!D143)</f>
        <v/>
      </c>
      <c r="H140" s="90"/>
      <c r="I140" s="24"/>
      <c r="J140" s="24"/>
      <c r="K140" s="91"/>
      <c r="L140" s="92" t="str">
        <f>IF(OR('Step 2- Activity Inventory'!O143=6,AND('Step 2- Activity Inventory'!O143=5,E140="Genius")),'Step 1- Hrly Rate Calc'!$D$18,"")</f>
        <v/>
      </c>
      <c r="M140" s="93" t="str">
        <f t="shared" si="6"/>
        <v/>
      </c>
      <c r="N140" s="93" t="str">
        <f>IF(L140="","",IF(IFERROR((G140/60)*M140*2*'Step 1- Hrly Rate Calc'!$D$14,"")&lt;0,"N/A",IFERROR((G140/60)*M140*2*'Step 1- Hrly Rate Calc'!$D$14,"")))</f>
        <v/>
      </c>
      <c r="O140" s="77" t="str">
        <f t="shared" si="7"/>
        <v/>
      </c>
      <c r="P140" s="77" t="str">
        <f t="shared" si="8"/>
        <v/>
      </c>
    </row>
    <row r="141" spans="2:16" s="61" customFormat="1" ht="34" customHeight="1" x14ac:dyDescent="0.2">
      <c r="B141" s="77" t="str">
        <f>IF('Step 2- Activity Inventory'!B144="","",'Step 2- Activity Inventory'!B144)</f>
        <v/>
      </c>
      <c r="C141" s="77" t="str">
        <f>IF('Step 2- Activity Inventory'!C144="","",'Step 2- Activity Inventory'!C144)</f>
        <v/>
      </c>
      <c r="D141" s="88" t="str">
        <f>IF('Step 2- Activity Inventory'!E144="","",'Step 2- Activity Inventory'!E144)</f>
        <v/>
      </c>
      <c r="E141" s="88" t="str">
        <f>IF('Step 2- Activity Inventory'!F144="","",'Step 2- Activity Inventory'!F144)</f>
        <v/>
      </c>
      <c r="F141" s="88" t="str">
        <f>IF(E141="Genius","N/A",IF('Step 2- Activity Inventory'!G144="","",'Step 2- Activity Inventory'!G144))</f>
        <v/>
      </c>
      <c r="G141" s="89" t="str">
        <f>IF('Step 2- Activity Inventory'!D144="","",'Step 2- Activity Inventory'!D144)</f>
        <v/>
      </c>
      <c r="H141" s="90"/>
      <c r="I141" s="24"/>
      <c r="J141" s="24"/>
      <c r="K141" s="91"/>
      <c r="L141" s="92" t="str">
        <f>IF(OR('Step 2- Activity Inventory'!O144=6,AND('Step 2- Activity Inventory'!O144=5,E141="Genius")),'Step 1- Hrly Rate Calc'!$D$18,"")</f>
        <v/>
      </c>
      <c r="M141" s="93" t="str">
        <f t="shared" si="6"/>
        <v/>
      </c>
      <c r="N141" s="93" t="str">
        <f>IF(L141="","",IF(IFERROR((G141/60)*M141*2*'Step 1- Hrly Rate Calc'!$D$14,"")&lt;0,"N/A",IFERROR((G141/60)*M141*2*'Step 1- Hrly Rate Calc'!$D$14,"")))</f>
        <v/>
      </c>
      <c r="O141" s="77" t="str">
        <f t="shared" si="7"/>
        <v/>
      </c>
      <c r="P141" s="77" t="str">
        <f t="shared" si="8"/>
        <v/>
      </c>
    </row>
    <row r="142" spans="2:16" s="61" customFormat="1" ht="34" customHeight="1" x14ac:dyDescent="0.2">
      <c r="B142" s="77" t="str">
        <f>IF('Step 2- Activity Inventory'!B145="","",'Step 2- Activity Inventory'!B145)</f>
        <v/>
      </c>
      <c r="C142" s="77" t="str">
        <f>IF('Step 2- Activity Inventory'!C145="","",'Step 2- Activity Inventory'!C145)</f>
        <v/>
      </c>
      <c r="D142" s="88" t="str">
        <f>IF('Step 2- Activity Inventory'!E145="","",'Step 2- Activity Inventory'!E145)</f>
        <v/>
      </c>
      <c r="E142" s="88" t="str">
        <f>IF('Step 2- Activity Inventory'!F145="","",'Step 2- Activity Inventory'!F145)</f>
        <v/>
      </c>
      <c r="F142" s="88" t="str">
        <f>IF(E142="Genius","N/A",IF('Step 2- Activity Inventory'!G145="","",'Step 2- Activity Inventory'!G145))</f>
        <v/>
      </c>
      <c r="G142" s="89" t="str">
        <f>IF('Step 2- Activity Inventory'!D145="","",'Step 2- Activity Inventory'!D145)</f>
        <v/>
      </c>
      <c r="H142" s="90"/>
      <c r="I142" s="24"/>
      <c r="J142" s="24"/>
      <c r="K142" s="91"/>
      <c r="L142" s="92" t="str">
        <f>IF(OR('Step 2- Activity Inventory'!O145=6,AND('Step 2- Activity Inventory'!O145=5,E142="Genius")),'Step 1- Hrly Rate Calc'!$D$18,"")</f>
        <v/>
      </c>
      <c r="M142" s="93" t="str">
        <f t="shared" si="6"/>
        <v/>
      </c>
      <c r="N142" s="93" t="str">
        <f>IF(L142="","",IF(IFERROR((G142/60)*M142*2*'Step 1- Hrly Rate Calc'!$D$14,"")&lt;0,"N/A",IFERROR((G142/60)*M142*2*'Step 1- Hrly Rate Calc'!$D$14,"")))</f>
        <v/>
      </c>
      <c r="O142" s="77" t="str">
        <f t="shared" si="7"/>
        <v/>
      </c>
      <c r="P142" s="77" t="str">
        <f t="shared" si="8"/>
        <v/>
      </c>
    </row>
    <row r="143" spans="2:16" s="61" customFormat="1" ht="34" customHeight="1" x14ac:dyDescent="0.2">
      <c r="B143" s="77" t="str">
        <f>IF('Step 2- Activity Inventory'!B146="","",'Step 2- Activity Inventory'!B146)</f>
        <v/>
      </c>
      <c r="C143" s="77" t="str">
        <f>IF('Step 2- Activity Inventory'!C146="","",'Step 2- Activity Inventory'!C146)</f>
        <v/>
      </c>
      <c r="D143" s="88" t="str">
        <f>IF('Step 2- Activity Inventory'!E146="","",'Step 2- Activity Inventory'!E146)</f>
        <v/>
      </c>
      <c r="E143" s="88" t="str">
        <f>IF('Step 2- Activity Inventory'!F146="","",'Step 2- Activity Inventory'!F146)</f>
        <v/>
      </c>
      <c r="F143" s="88" t="str">
        <f>IF(E143="Genius","N/A",IF('Step 2- Activity Inventory'!G146="","",'Step 2- Activity Inventory'!G146))</f>
        <v/>
      </c>
      <c r="G143" s="89" t="str">
        <f>IF('Step 2- Activity Inventory'!D146="","",'Step 2- Activity Inventory'!D146)</f>
        <v/>
      </c>
      <c r="H143" s="90"/>
      <c r="I143" s="24"/>
      <c r="J143" s="24"/>
      <c r="K143" s="91"/>
      <c r="L143" s="92" t="str">
        <f>IF(OR('Step 2- Activity Inventory'!O146=6,AND('Step 2- Activity Inventory'!O146=5,E143="Genius")),'Step 1- Hrly Rate Calc'!$D$18,"")</f>
        <v/>
      </c>
      <c r="M143" s="93" t="str">
        <f t="shared" si="6"/>
        <v/>
      </c>
      <c r="N143" s="93" t="str">
        <f>IF(L143="","",IF(IFERROR((G143/60)*M143*2*'Step 1- Hrly Rate Calc'!$D$14,"")&lt;0,"N/A",IFERROR((G143/60)*M143*2*'Step 1- Hrly Rate Calc'!$D$14,"")))</f>
        <v/>
      </c>
      <c r="O143" s="77" t="str">
        <f t="shared" si="7"/>
        <v/>
      </c>
      <c r="P143" s="77" t="str">
        <f t="shared" si="8"/>
        <v/>
      </c>
    </row>
    <row r="144" spans="2:16" s="61" customFormat="1" ht="34" customHeight="1" x14ac:dyDescent="0.2">
      <c r="B144" s="77" t="str">
        <f>IF('Step 2- Activity Inventory'!B147="","",'Step 2- Activity Inventory'!B147)</f>
        <v/>
      </c>
      <c r="C144" s="77" t="str">
        <f>IF('Step 2- Activity Inventory'!C147="","",'Step 2- Activity Inventory'!C147)</f>
        <v/>
      </c>
      <c r="D144" s="88" t="str">
        <f>IF('Step 2- Activity Inventory'!E147="","",'Step 2- Activity Inventory'!E147)</f>
        <v/>
      </c>
      <c r="E144" s="88" t="str">
        <f>IF('Step 2- Activity Inventory'!F147="","",'Step 2- Activity Inventory'!F147)</f>
        <v/>
      </c>
      <c r="F144" s="88" t="str">
        <f>IF(E144="Genius","N/A",IF('Step 2- Activity Inventory'!G147="","",'Step 2- Activity Inventory'!G147))</f>
        <v/>
      </c>
      <c r="G144" s="89" t="str">
        <f>IF('Step 2- Activity Inventory'!D147="","",'Step 2- Activity Inventory'!D147)</f>
        <v/>
      </c>
      <c r="H144" s="90"/>
      <c r="I144" s="24"/>
      <c r="J144" s="24"/>
      <c r="K144" s="91"/>
      <c r="L144" s="92" t="str">
        <f>IF(OR('Step 2- Activity Inventory'!O147=6,AND('Step 2- Activity Inventory'!O147=5,E144="Genius")),'Step 1- Hrly Rate Calc'!$D$18,"")</f>
        <v/>
      </c>
      <c r="M144" s="93" t="str">
        <f t="shared" si="6"/>
        <v/>
      </c>
      <c r="N144" s="93" t="str">
        <f>IF(L144="","",IF(IFERROR((G144/60)*M144*2*'Step 1- Hrly Rate Calc'!$D$14,"")&lt;0,"N/A",IFERROR((G144/60)*M144*2*'Step 1- Hrly Rate Calc'!$D$14,"")))</f>
        <v/>
      </c>
      <c r="O144" s="77" t="str">
        <f t="shared" si="7"/>
        <v/>
      </c>
      <c r="P144" s="77" t="str">
        <f t="shared" si="8"/>
        <v/>
      </c>
    </row>
    <row r="145" spans="2:16" s="61" customFormat="1" ht="34" customHeight="1" x14ac:dyDescent="0.2">
      <c r="B145" s="77" t="str">
        <f>IF('Step 2- Activity Inventory'!B148="","",'Step 2- Activity Inventory'!B148)</f>
        <v/>
      </c>
      <c r="C145" s="77" t="str">
        <f>IF('Step 2- Activity Inventory'!C148="","",'Step 2- Activity Inventory'!C148)</f>
        <v/>
      </c>
      <c r="D145" s="88" t="str">
        <f>IF('Step 2- Activity Inventory'!E148="","",'Step 2- Activity Inventory'!E148)</f>
        <v/>
      </c>
      <c r="E145" s="88" t="str">
        <f>IF('Step 2- Activity Inventory'!F148="","",'Step 2- Activity Inventory'!F148)</f>
        <v/>
      </c>
      <c r="F145" s="88" t="str">
        <f>IF(E145="Genius","N/A",IF('Step 2- Activity Inventory'!G148="","",'Step 2- Activity Inventory'!G148))</f>
        <v/>
      </c>
      <c r="G145" s="89" t="str">
        <f>IF('Step 2- Activity Inventory'!D148="","",'Step 2- Activity Inventory'!D148)</f>
        <v/>
      </c>
      <c r="H145" s="90"/>
      <c r="I145" s="24"/>
      <c r="J145" s="24"/>
      <c r="K145" s="91"/>
      <c r="L145" s="92" t="str">
        <f>IF(OR('Step 2- Activity Inventory'!O148=6,AND('Step 2- Activity Inventory'!O148=5,E145="Genius")),'Step 1- Hrly Rate Calc'!$D$18,"")</f>
        <v/>
      </c>
      <c r="M145" s="93" t="str">
        <f t="shared" si="6"/>
        <v/>
      </c>
      <c r="N145" s="93" t="str">
        <f>IF(L145="","",IF(IFERROR((G145/60)*M145*2*'Step 1- Hrly Rate Calc'!$D$14,"")&lt;0,"N/A",IFERROR((G145/60)*M145*2*'Step 1- Hrly Rate Calc'!$D$14,"")))</f>
        <v/>
      </c>
      <c r="O145" s="77" t="str">
        <f t="shared" si="7"/>
        <v/>
      </c>
      <c r="P145" s="77" t="str">
        <f t="shared" si="8"/>
        <v/>
      </c>
    </row>
    <row r="146" spans="2:16" s="61" customFormat="1" ht="34" customHeight="1" x14ac:dyDescent="0.2">
      <c r="B146" s="77" t="str">
        <f>IF('Step 2- Activity Inventory'!B149="","",'Step 2- Activity Inventory'!B149)</f>
        <v/>
      </c>
      <c r="C146" s="77" t="str">
        <f>IF('Step 2- Activity Inventory'!C149="","",'Step 2- Activity Inventory'!C149)</f>
        <v/>
      </c>
      <c r="D146" s="88" t="str">
        <f>IF('Step 2- Activity Inventory'!E149="","",'Step 2- Activity Inventory'!E149)</f>
        <v/>
      </c>
      <c r="E146" s="88" t="str">
        <f>IF('Step 2- Activity Inventory'!F149="","",'Step 2- Activity Inventory'!F149)</f>
        <v/>
      </c>
      <c r="F146" s="88" t="str">
        <f>IF(E146="Genius","N/A",IF('Step 2- Activity Inventory'!G149="","",'Step 2- Activity Inventory'!G149))</f>
        <v/>
      </c>
      <c r="G146" s="89" t="str">
        <f>IF('Step 2- Activity Inventory'!D149="","",'Step 2- Activity Inventory'!D149)</f>
        <v/>
      </c>
      <c r="H146" s="90"/>
      <c r="I146" s="24"/>
      <c r="J146" s="24"/>
      <c r="K146" s="91"/>
      <c r="L146" s="92" t="str">
        <f>IF(OR('Step 2- Activity Inventory'!O149=6,AND('Step 2- Activity Inventory'!O149=5,E146="Genius")),'Step 1- Hrly Rate Calc'!$D$18,"")</f>
        <v/>
      </c>
      <c r="M146" s="93" t="str">
        <f t="shared" si="6"/>
        <v/>
      </c>
      <c r="N146" s="93" t="str">
        <f>IF(L146="","",IF(IFERROR((G146/60)*M146*2*'Step 1- Hrly Rate Calc'!$D$14,"")&lt;0,"N/A",IFERROR((G146/60)*M146*2*'Step 1- Hrly Rate Calc'!$D$14,"")))</f>
        <v/>
      </c>
      <c r="O146" s="77" t="str">
        <f t="shared" si="7"/>
        <v/>
      </c>
      <c r="P146" s="77" t="str">
        <f t="shared" si="8"/>
        <v/>
      </c>
    </row>
    <row r="147" spans="2:16" s="61" customFormat="1" ht="34" customHeight="1" x14ac:dyDescent="0.2">
      <c r="B147" s="77" t="str">
        <f>IF('Step 2- Activity Inventory'!B150="","",'Step 2- Activity Inventory'!B150)</f>
        <v/>
      </c>
      <c r="C147" s="77" t="str">
        <f>IF('Step 2- Activity Inventory'!C150="","",'Step 2- Activity Inventory'!C150)</f>
        <v/>
      </c>
      <c r="D147" s="88" t="str">
        <f>IF('Step 2- Activity Inventory'!E150="","",'Step 2- Activity Inventory'!E150)</f>
        <v/>
      </c>
      <c r="E147" s="88" t="str">
        <f>IF('Step 2- Activity Inventory'!F150="","",'Step 2- Activity Inventory'!F150)</f>
        <v/>
      </c>
      <c r="F147" s="88" t="str">
        <f>IF(E147="Genius","N/A",IF('Step 2- Activity Inventory'!G150="","",'Step 2- Activity Inventory'!G150))</f>
        <v/>
      </c>
      <c r="G147" s="89" t="str">
        <f>IF('Step 2- Activity Inventory'!D150="","",'Step 2- Activity Inventory'!D150)</f>
        <v/>
      </c>
      <c r="H147" s="90"/>
      <c r="I147" s="24"/>
      <c r="J147" s="24"/>
      <c r="K147" s="91"/>
      <c r="L147" s="92" t="str">
        <f>IF(OR('Step 2- Activity Inventory'!O150=6,AND('Step 2- Activity Inventory'!O150=5,E147="Genius")),'Step 1- Hrly Rate Calc'!$D$18,"")</f>
        <v/>
      </c>
      <c r="M147" s="93" t="str">
        <f t="shared" si="6"/>
        <v/>
      </c>
      <c r="N147" s="93" t="str">
        <f>IF(L147="","",IF(IFERROR((G147/60)*M147*2*'Step 1- Hrly Rate Calc'!$D$14,"")&lt;0,"N/A",IFERROR((G147/60)*M147*2*'Step 1- Hrly Rate Calc'!$D$14,"")))</f>
        <v/>
      </c>
      <c r="O147" s="77" t="str">
        <f t="shared" si="7"/>
        <v/>
      </c>
      <c r="P147" s="77" t="str">
        <f t="shared" si="8"/>
        <v/>
      </c>
    </row>
    <row r="148" spans="2:16" s="61" customFormat="1" ht="34" customHeight="1" x14ac:dyDescent="0.2">
      <c r="B148" s="77" t="str">
        <f>IF('Step 2- Activity Inventory'!B151="","",'Step 2- Activity Inventory'!B151)</f>
        <v/>
      </c>
      <c r="C148" s="77" t="str">
        <f>IF('Step 2- Activity Inventory'!C151="","",'Step 2- Activity Inventory'!C151)</f>
        <v/>
      </c>
      <c r="D148" s="88" t="str">
        <f>IF('Step 2- Activity Inventory'!E151="","",'Step 2- Activity Inventory'!E151)</f>
        <v/>
      </c>
      <c r="E148" s="88" t="str">
        <f>IF('Step 2- Activity Inventory'!F151="","",'Step 2- Activity Inventory'!F151)</f>
        <v/>
      </c>
      <c r="F148" s="88" t="str">
        <f>IF(E148="Genius","N/A",IF('Step 2- Activity Inventory'!G151="","",'Step 2- Activity Inventory'!G151))</f>
        <v/>
      </c>
      <c r="G148" s="89" t="str">
        <f>IF('Step 2- Activity Inventory'!D151="","",'Step 2- Activity Inventory'!D151)</f>
        <v/>
      </c>
      <c r="H148" s="90"/>
      <c r="I148" s="24"/>
      <c r="J148" s="24"/>
      <c r="K148" s="91"/>
      <c r="L148" s="92" t="str">
        <f>IF(OR('Step 2- Activity Inventory'!O151=6,AND('Step 2- Activity Inventory'!O151=5,E148="Genius")),'Step 1- Hrly Rate Calc'!$D$18,"")</f>
        <v/>
      </c>
      <c r="M148" s="93" t="str">
        <f t="shared" si="6"/>
        <v/>
      </c>
      <c r="N148" s="93" t="str">
        <f>IF(L148="","",IF(IFERROR((G148/60)*M148*2*'Step 1- Hrly Rate Calc'!$D$14,"")&lt;0,"N/A",IFERROR((G148/60)*M148*2*'Step 1- Hrly Rate Calc'!$D$14,"")))</f>
        <v/>
      </c>
      <c r="O148" s="77" t="str">
        <f t="shared" si="7"/>
        <v/>
      </c>
      <c r="P148" s="77" t="str">
        <f t="shared" si="8"/>
        <v/>
      </c>
    </row>
    <row r="149" spans="2:16" s="61" customFormat="1" ht="34" customHeight="1" x14ac:dyDescent="0.2">
      <c r="B149" s="77" t="str">
        <f>IF('Step 2- Activity Inventory'!B152="","",'Step 2- Activity Inventory'!B152)</f>
        <v/>
      </c>
      <c r="C149" s="77" t="str">
        <f>IF('Step 2- Activity Inventory'!C152="","",'Step 2- Activity Inventory'!C152)</f>
        <v/>
      </c>
      <c r="D149" s="88" t="str">
        <f>IF('Step 2- Activity Inventory'!E152="","",'Step 2- Activity Inventory'!E152)</f>
        <v/>
      </c>
      <c r="E149" s="88" t="str">
        <f>IF('Step 2- Activity Inventory'!F152="","",'Step 2- Activity Inventory'!F152)</f>
        <v/>
      </c>
      <c r="F149" s="88" t="str">
        <f>IF(E149="Genius","N/A",IF('Step 2- Activity Inventory'!G152="","",'Step 2- Activity Inventory'!G152))</f>
        <v/>
      </c>
      <c r="G149" s="89" t="str">
        <f>IF('Step 2- Activity Inventory'!D152="","",'Step 2- Activity Inventory'!D152)</f>
        <v/>
      </c>
      <c r="H149" s="90"/>
      <c r="I149" s="24"/>
      <c r="J149" s="24"/>
      <c r="K149" s="91"/>
      <c r="L149" s="92" t="str">
        <f>IF(OR('Step 2- Activity Inventory'!O152=6,AND('Step 2- Activity Inventory'!O152=5,E149="Genius")),'Step 1- Hrly Rate Calc'!$D$18,"")</f>
        <v/>
      </c>
      <c r="M149" s="93" t="str">
        <f t="shared" si="6"/>
        <v/>
      </c>
      <c r="N149" s="93" t="str">
        <f>IF(L149="","",IF(IFERROR((G149/60)*M149*2*'Step 1- Hrly Rate Calc'!$D$14,"")&lt;0,"N/A",IFERROR((G149/60)*M149*2*'Step 1- Hrly Rate Calc'!$D$14,"")))</f>
        <v/>
      </c>
      <c r="O149" s="77" t="str">
        <f t="shared" si="7"/>
        <v/>
      </c>
      <c r="P149" s="77" t="str">
        <f t="shared" si="8"/>
        <v/>
      </c>
    </row>
    <row r="150" spans="2:16" s="61" customFormat="1" ht="34" customHeight="1" x14ac:dyDescent="0.2">
      <c r="B150" s="77" t="str">
        <f>IF('Step 2- Activity Inventory'!B153="","",'Step 2- Activity Inventory'!B153)</f>
        <v/>
      </c>
      <c r="C150" s="77" t="str">
        <f>IF('Step 2- Activity Inventory'!C153="","",'Step 2- Activity Inventory'!C153)</f>
        <v/>
      </c>
      <c r="D150" s="88" t="str">
        <f>IF('Step 2- Activity Inventory'!E153="","",'Step 2- Activity Inventory'!E153)</f>
        <v/>
      </c>
      <c r="E150" s="88" t="str">
        <f>IF('Step 2- Activity Inventory'!F153="","",'Step 2- Activity Inventory'!F153)</f>
        <v/>
      </c>
      <c r="F150" s="88" t="str">
        <f>IF(E150="Genius","N/A",IF('Step 2- Activity Inventory'!G153="","",'Step 2- Activity Inventory'!G153))</f>
        <v/>
      </c>
      <c r="G150" s="89" t="str">
        <f>IF('Step 2- Activity Inventory'!D153="","",'Step 2- Activity Inventory'!D153)</f>
        <v/>
      </c>
      <c r="H150" s="90"/>
      <c r="I150" s="24"/>
      <c r="J150" s="24"/>
      <c r="K150" s="91"/>
      <c r="L150" s="92" t="str">
        <f>IF(OR('Step 2- Activity Inventory'!O153=6,AND('Step 2- Activity Inventory'!O153=5,E150="Genius")),'Step 1- Hrly Rate Calc'!$D$18,"")</f>
        <v/>
      </c>
      <c r="M150" s="93" t="str">
        <f t="shared" si="6"/>
        <v/>
      </c>
      <c r="N150" s="93" t="str">
        <f>IF(L150="","",IF(IFERROR((G150/60)*M150*2*'Step 1- Hrly Rate Calc'!$D$14,"")&lt;0,"N/A",IFERROR((G150/60)*M150*2*'Step 1- Hrly Rate Calc'!$D$14,"")))</f>
        <v/>
      </c>
      <c r="O150" s="77" t="str">
        <f t="shared" si="7"/>
        <v/>
      </c>
      <c r="P150" s="77" t="str">
        <f t="shared" si="8"/>
        <v/>
      </c>
    </row>
    <row r="151" spans="2:16" s="61" customFormat="1" ht="34" customHeight="1" x14ac:dyDescent="0.2">
      <c r="B151" s="77" t="str">
        <f>IF('Step 2- Activity Inventory'!B154="","",'Step 2- Activity Inventory'!B154)</f>
        <v/>
      </c>
      <c r="C151" s="77" t="str">
        <f>IF('Step 2- Activity Inventory'!C154="","",'Step 2- Activity Inventory'!C154)</f>
        <v/>
      </c>
      <c r="D151" s="88" t="str">
        <f>IF('Step 2- Activity Inventory'!E154="","",'Step 2- Activity Inventory'!E154)</f>
        <v/>
      </c>
      <c r="E151" s="88" t="str">
        <f>IF('Step 2- Activity Inventory'!F154="","",'Step 2- Activity Inventory'!F154)</f>
        <v/>
      </c>
      <c r="F151" s="88" t="str">
        <f>IF(E151="Genius","N/A",IF('Step 2- Activity Inventory'!G154="","",'Step 2- Activity Inventory'!G154))</f>
        <v/>
      </c>
      <c r="G151" s="89" t="str">
        <f>IF('Step 2- Activity Inventory'!D154="","",'Step 2- Activity Inventory'!D154)</f>
        <v/>
      </c>
      <c r="H151" s="90"/>
      <c r="I151" s="24"/>
      <c r="J151" s="24"/>
      <c r="K151" s="91"/>
      <c r="L151" s="92" t="str">
        <f>IF(OR('Step 2- Activity Inventory'!O154=6,AND('Step 2- Activity Inventory'!O154=5,E151="Genius")),'Step 1- Hrly Rate Calc'!$D$18,"")</f>
        <v/>
      </c>
      <c r="M151" s="93" t="str">
        <f t="shared" si="6"/>
        <v/>
      </c>
      <c r="N151" s="93" t="str">
        <f>IF(L151="","",IF(IFERROR((G151/60)*M151*2*'Step 1- Hrly Rate Calc'!$D$14,"")&lt;0,"N/A",IFERROR((G151/60)*M151*2*'Step 1- Hrly Rate Calc'!$D$14,"")))</f>
        <v/>
      </c>
      <c r="O151" s="77" t="str">
        <f t="shared" si="7"/>
        <v/>
      </c>
      <c r="P151" s="77" t="str">
        <f t="shared" si="8"/>
        <v/>
      </c>
    </row>
    <row r="152" spans="2:16" s="61" customFormat="1" ht="34" customHeight="1" x14ac:dyDescent="0.2">
      <c r="B152" s="77" t="str">
        <f>IF('Step 2- Activity Inventory'!B155="","",'Step 2- Activity Inventory'!B155)</f>
        <v/>
      </c>
      <c r="C152" s="77" t="str">
        <f>IF('Step 2- Activity Inventory'!C155="","",'Step 2- Activity Inventory'!C155)</f>
        <v/>
      </c>
      <c r="D152" s="88" t="str">
        <f>IF('Step 2- Activity Inventory'!E155="","",'Step 2- Activity Inventory'!E155)</f>
        <v/>
      </c>
      <c r="E152" s="88" t="str">
        <f>IF('Step 2- Activity Inventory'!F155="","",'Step 2- Activity Inventory'!F155)</f>
        <v/>
      </c>
      <c r="F152" s="88" t="str">
        <f>IF(E152="Genius","N/A",IF('Step 2- Activity Inventory'!G155="","",'Step 2- Activity Inventory'!G155))</f>
        <v/>
      </c>
      <c r="G152" s="89" t="str">
        <f>IF('Step 2- Activity Inventory'!D155="","",'Step 2- Activity Inventory'!D155)</f>
        <v/>
      </c>
      <c r="H152" s="90"/>
      <c r="I152" s="24"/>
      <c r="J152" s="24"/>
      <c r="K152" s="91"/>
      <c r="L152" s="92" t="str">
        <f>IF(OR('Step 2- Activity Inventory'!O155=6,AND('Step 2- Activity Inventory'!O155=5,E152="Genius")),'Step 1- Hrly Rate Calc'!$D$18,"")</f>
        <v/>
      </c>
      <c r="M152" s="93" t="str">
        <f t="shared" si="6"/>
        <v/>
      </c>
      <c r="N152" s="93" t="str">
        <f>IF(L152="","",IF(IFERROR((G152/60)*M152*2*'Step 1- Hrly Rate Calc'!$D$14,"")&lt;0,"N/A",IFERROR((G152/60)*M152*2*'Step 1- Hrly Rate Calc'!$D$14,"")))</f>
        <v/>
      </c>
      <c r="O152" s="77" t="str">
        <f t="shared" si="7"/>
        <v/>
      </c>
      <c r="P152" s="77" t="str">
        <f t="shared" si="8"/>
        <v/>
      </c>
    </row>
    <row r="153" spans="2:16" s="61" customFormat="1" ht="34" customHeight="1" x14ac:dyDescent="0.2">
      <c r="B153" s="77" t="str">
        <f>IF('Step 2- Activity Inventory'!B156="","",'Step 2- Activity Inventory'!B156)</f>
        <v/>
      </c>
      <c r="C153" s="77" t="str">
        <f>IF('Step 2- Activity Inventory'!C156="","",'Step 2- Activity Inventory'!C156)</f>
        <v/>
      </c>
      <c r="D153" s="88" t="str">
        <f>IF('Step 2- Activity Inventory'!E156="","",'Step 2- Activity Inventory'!E156)</f>
        <v/>
      </c>
      <c r="E153" s="88" t="str">
        <f>IF('Step 2- Activity Inventory'!F156="","",'Step 2- Activity Inventory'!F156)</f>
        <v/>
      </c>
      <c r="F153" s="88" t="str">
        <f>IF(E153="Genius","N/A",IF('Step 2- Activity Inventory'!G156="","",'Step 2- Activity Inventory'!G156))</f>
        <v/>
      </c>
      <c r="G153" s="89" t="str">
        <f>IF('Step 2- Activity Inventory'!D156="","",'Step 2- Activity Inventory'!D156)</f>
        <v/>
      </c>
      <c r="H153" s="90"/>
      <c r="I153" s="24"/>
      <c r="J153" s="24"/>
      <c r="K153" s="91"/>
      <c r="L153" s="92" t="str">
        <f>IF(OR('Step 2- Activity Inventory'!O156=6,AND('Step 2- Activity Inventory'!O156=5,E153="Genius")),'Step 1- Hrly Rate Calc'!$D$18,"")</f>
        <v/>
      </c>
      <c r="M153" s="93" t="str">
        <f t="shared" si="6"/>
        <v/>
      </c>
      <c r="N153" s="93" t="str">
        <f>IF(L153="","",IF(IFERROR((G153/60)*M153*2*'Step 1- Hrly Rate Calc'!$D$14,"")&lt;0,"N/A",IFERROR((G153/60)*M153*2*'Step 1- Hrly Rate Calc'!$D$14,"")))</f>
        <v/>
      </c>
      <c r="O153" s="77" t="str">
        <f t="shared" si="7"/>
        <v/>
      </c>
      <c r="P153" s="77" t="str">
        <f t="shared" si="8"/>
        <v/>
      </c>
    </row>
    <row r="154" spans="2:16" s="61" customFormat="1" ht="34" customHeight="1" x14ac:dyDescent="0.2">
      <c r="B154" s="77" t="str">
        <f>IF('Step 2- Activity Inventory'!B157="","",'Step 2- Activity Inventory'!B157)</f>
        <v/>
      </c>
      <c r="C154" s="77" t="str">
        <f>IF('Step 2- Activity Inventory'!C157="","",'Step 2- Activity Inventory'!C157)</f>
        <v/>
      </c>
      <c r="D154" s="88" t="str">
        <f>IF('Step 2- Activity Inventory'!E157="","",'Step 2- Activity Inventory'!E157)</f>
        <v/>
      </c>
      <c r="E154" s="88" t="str">
        <f>IF('Step 2- Activity Inventory'!F157="","",'Step 2- Activity Inventory'!F157)</f>
        <v/>
      </c>
      <c r="F154" s="88" t="str">
        <f>IF(E154="Genius","N/A",IF('Step 2- Activity Inventory'!G157="","",'Step 2- Activity Inventory'!G157))</f>
        <v/>
      </c>
      <c r="G154" s="89" t="str">
        <f>IF('Step 2- Activity Inventory'!D157="","",'Step 2- Activity Inventory'!D157)</f>
        <v/>
      </c>
      <c r="H154" s="90"/>
      <c r="I154" s="24"/>
      <c r="J154" s="24"/>
      <c r="K154" s="91"/>
      <c r="L154" s="92" t="str">
        <f>IF(OR('Step 2- Activity Inventory'!O157=6,AND('Step 2- Activity Inventory'!O157=5,E154="Genius")),'Step 1- Hrly Rate Calc'!$D$18,"")</f>
        <v/>
      </c>
      <c r="M154" s="93" t="str">
        <f t="shared" si="6"/>
        <v/>
      </c>
      <c r="N154" s="93" t="str">
        <f>IF(L154="","",IF(IFERROR((G154/60)*M154*2*'Step 1- Hrly Rate Calc'!$D$14,"")&lt;0,"N/A",IFERROR((G154/60)*M154*2*'Step 1- Hrly Rate Calc'!$D$14,"")))</f>
        <v/>
      </c>
      <c r="O154" s="77" t="str">
        <f t="shared" si="7"/>
        <v/>
      </c>
      <c r="P154" s="77" t="str">
        <f t="shared" si="8"/>
        <v/>
      </c>
    </row>
    <row r="155" spans="2:16" s="61" customFormat="1" ht="34" customHeight="1" x14ac:dyDescent="0.2">
      <c r="B155" s="77" t="str">
        <f>IF('Step 2- Activity Inventory'!B158="","",'Step 2- Activity Inventory'!B158)</f>
        <v/>
      </c>
      <c r="C155" s="77" t="str">
        <f>IF('Step 2- Activity Inventory'!C158="","",'Step 2- Activity Inventory'!C158)</f>
        <v/>
      </c>
      <c r="D155" s="88" t="str">
        <f>IF('Step 2- Activity Inventory'!E158="","",'Step 2- Activity Inventory'!E158)</f>
        <v/>
      </c>
      <c r="E155" s="88" t="str">
        <f>IF('Step 2- Activity Inventory'!F158="","",'Step 2- Activity Inventory'!F158)</f>
        <v/>
      </c>
      <c r="F155" s="88" t="str">
        <f>IF(E155="Genius","N/A",IF('Step 2- Activity Inventory'!G158="","",'Step 2- Activity Inventory'!G158))</f>
        <v/>
      </c>
      <c r="G155" s="89" t="str">
        <f>IF('Step 2- Activity Inventory'!D158="","",'Step 2- Activity Inventory'!D158)</f>
        <v/>
      </c>
      <c r="H155" s="90"/>
      <c r="I155" s="24"/>
      <c r="J155" s="24"/>
      <c r="K155" s="91"/>
      <c r="L155" s="92" t="str">
        <f>IF(OR('Step 2- Activity Inventory'!O158=6,AND('Step 2- Activity Inventory'!O158=5,E155="Genius")),'Step 1- Hrly Rate Calc'!$D$18,"")</f>
        <v/>
      </c>
      <c r="M155" s="93" t="str">
        <f t="shared" si="6"/>
        <v/>
      </c>
      <c r="N155" s="93" t="str">
        <f>IF(L155="","",IF(IFERROR((G155/60)*M155*2*'Step 1- Hrly Rate Calc'!$D$14,"")&lt;0,"N/A",IFERROR((G155/60)*M155*2*'Step 1- Hrly Rate Calc'!$D$14,"")))</f>
        <v/>
      </c>
      <c r="O155" s="77" t="str">
        <f t="shared" si="7"/>
        <v/>
      </c>
      <c r="P155" s="77" t="str">
        <f t="shared" si="8"/>
        <v/>
      </c>
    </row>
    <row r="156" spans="2:16" s="61" customFormat="1" ht="34" customHeight="1" x14ac:dyDescent="0.2">
      <c r="B156" s="77" t="str">
        <f>IF('Step 2- Activity Inventory'!B159="","",'Step 2- Activity Inventory'!B159)</f>
        <v/>
      </c>
      <c r="C156" s="77" t="str">
        <f>IF('Step 2- Activity Inventory'!C159="","",'Step 2- Activity Inventory'!C159)</f>
        <v/>
      </c>
      <c r="D156" s="88" t="str">
        <f>IF('Step 2- Activity Inventory'!E159="","",'Step 2- Activity Inventory'!E159)</f>
        <v/>
      </c>
      <c r="E156" s="88" t="str">
        <f>IF('Step 2- Activity Inventory'!F159="","",'Step 2- Activity Inventory'!F159)</f>
        <v/>
      </c>
      <c r="F156" s="88" t="str">
        <f>IF(E156="Genius","N/A",IF('Step 2- Activity Inventory'!G159="","",'Step 2- Activity Inventory'!G159))</f>
        <v/>
      </c>
      <c r="G156" s="89" t="str">
        <f>IF('Step 2- Activity Inventory'!D159="","",'Step 2- Activity Inventory'!D159)</f>
        <v/>
      </c>
      <c r="H156" s="90"/>
      <c r="I156" s="24"/>
      <c r="J156" s="24"/>
      <c r="K156" s="91"/>
      <c r="L156" s="92" t="str">
        <f>IF(OR('Step 2- Activity Inventory'!O159=6,AND('Step 2- Activity Inventory'!O159=5,E156="Genius")),'Step 1- Hrly Rate Calc'!$D$18,"")</f>
        <v/>
      </c>
      <c r="M156" s="93" t="str">
        <f t="shared" si="6"/>
        <v/>
      </c>
      <c r="N156" s="93" t="str">
        <f>IF(L156="","",IF(IFERROR((G156/60)*M156*2*'Step 1- Hrly Rate Calc'!$D$14,"")&lt;0,"N/A",IFERROR((G156/60)*M156*2*'Step 1- Hrly Rate Calc'!$D$14,"")))</f>
        <v/>
      </c>
      <c r="O156" s="77" t="str">
        <f t="shared" si="7"/>
        <v/>
      </c>
      <c r="P156" s="77" t="str">
        <f t="shared" si="8"/>
        <v/>
      </c>
    </row>
    <row r="157" spans="2:16" s="61" customFormat="1" ht="34" customHeight="1" x14ac:dyDescent="0.2">
      <c r="B157" s="77" t="str">
        <f>IF('Step 2- Activity Inventory'!B160="","",'Step 2- Activity Inventory'!B160)</f>
        <v/>
      </c>
      <c r="C157" s="77" t="str">
        <f>IF('Step 2- Activity Inventory'!C160="","",'Step 2- Activity Inventory'!C160)</f>
        <v/>
      </c>
      <c r="D157" s="88" t="str">
        <f>IF('Step 2- Activity Inventory'!E160="","",'Step 2- Activity Inventory'!E160)</f>
        <v/>
      </c>
      <c r="E157" s="88" t="str">
        <f>IF('Step 2- Activity Inventory'!F160="","",'Step 2- Activity Inventory'!F160)</f>
        <v/>
      </c>
      <c r="F157" s="88" t="str">
        <f>IF(E157="Genius","N/A",IF('Step 2- Activity Inventory'!G160="","",'Step 2- Activity Inventory'!G160))</f>
        <v/>
      </c>
      <c r="G157" s="89" t="str">
        <f>IF('Step 2- Activity Inventory'!D160="","",'Step 2- Activity Inventory'!D160)</f>
        <v/>
      </c>
      <c r="H157" s="90"/>
      <c r="I157" s="24"/>
      <c r="J157" s="24"/>
      <c r="K157" s="91"/>
      <c r="L157" s="92" t="str">
        <f>IF(OR('Step 2- Activity Inventory'!O160=6,AND('Step 2- Activity Inventory'!O160=5,E157="Genius")),'Step 1- Hrly Rate Calc'!$D$18,"")</f>
        <v/>
      </c>
      <c r="M157" s="93" t="str">
        <f t="shared" si="6"/>
        <v/>
      </c>
      <c r="N157" s="93" t="str">
        <f>IF(L157="","",IF(IFERROR((G157/60)*M157*2*'Step 1- Hrly Rate Calc'!$D$14,"")&lt;0,"N/A",IFERROR((G157/60)*M157*2*'Step 1- Hrly Rate Calc'!$D$14,"")))</f>
        <v/>
      </c>
      <c r="O157" s="77" t="str">
        <f t="shared" si="7"/>
        <v/>
      </c>
      <c r="P157" s="77" t="str">
        <f t="shared" si="8"/>
        <v/>
      </c>
    </row>
    <row r="158" spans="2:16" s="61" customFormat="1" ht="34" customHeight="1" x14ac:dyDescent="0.2">
      <c r="B158" s="77" t="str">
        <f>IF('Step 2- Activity Inventory'!B161="","",'Step 2- Activity Inventory'!B161)</f>
        <v/>
      </c>
      <c r="C158" s="77" t="str">
        <f>IF('Step 2- Activity Inventory'!C161="","",'Step 2- Activity Inventory'!C161)</f>
        <v/>
      </c>
      <c r="D158" s="88" t="str">
        <f>IF('Step 2- Activity Inventory'!E161="","",'Step 2- Activity Inventory'!E161)</f>
        <v/>
      </c>
      <c r="E158" s="88" t="str">
        <f>IF('Step 2- Activity Inventory'!F161="","",'Step 2- Activity Inventory'!F161)</f>
        <v/>
      </c>
      <c r="F158" s="88" t="str">
        <f>IF(E158="Genius","N/A",IF('Step 2- Activity Inventory'!G161="","",'Step 2- Activity Inventory'!G161))</f>
        <v/>
      </c>
      <c r="G158" s="89" t="str">
        <f>IF('Step 2- Activity Inventory'!D161="","",'Step 2- Activity Inventory'!D161)</f>
        <v/>
      </c>
      <c r="H158" s="90"/>
      <c r="I158" s="24"/>
      <c r="J158" s="24"/>
      <c r="K158" s="91"/>
      <c r="L158" s="92" t="str">
        <f>IF(OR('Step 2- Activity Inventory'!O161=6,AND('Step 2- Activity Inventory'!O161=5,E158="Genius")),'Step 1- Hrly Rate Calc'!$D$18,"")</f>
        <v/>
      </c>
      <c r="M158" s="93" t="str">
        <f t="shared" si="6"/>
        <v/>
      </c>
      <c r="N158" s="93" t="str">
        <f>IF(L158="","",IF(IFERROR((G158/60)*M158*2*'Step 1- Hrly Rate Calc'!$D$14,"")&lt;0,"N/A",IFERROR((G158/60)*M158*2*'Step 1- Hrly Rate Calc'!$D$14,"")))</f>
        <v/>
      </c>
      <c r="O158" s="77" t="str">
        <f t="shared" si="7"/>
        <v/>
      </c>
      <c r="P158" s="77" t="str">
        <f t="shared" si="8"/>
        <v/>
      </c>
    </row>
    <row r="159" spans="2:16" s="61" customFormat="1" ht="34" customHeight="1" x14ac:dyDescent="0.2">
      <c r="B159" s="77" t="str">
        <f>IF('Step 2- Activity Inventory'!B162="","",'Step 2- Activity Inventory'!B162)</f>
        <v/>
      </c>
      <c r="C159" s="77" t="str">
        <f>IF('Step 2- Activity Inventory'!C162="","",'Step 2- Activity Inventory'!C162)</f>
        <v/>
      </c>
      <c r="D159" s="88" t="str">
        <f>IF('Step 2- Activity Inventory'!E162="","",'Step 2- Activity Inventory'!E162)</f>
        <v/>
      </c>
      <c r="E159" s="88" t="str">
        <f>IF('Step 2- Activity Inventory'!F162="","",'Step 2- Activity Inventory'!F162)</f>
        <v/>
      </c>
      <c r="F159" s="88" t="str">
        <f>IF(E159="Genius","N/A",IF('Step 2- Activity Inventory'!G162="","",'Step 2- Activity Inventory'!G162))</f>
        <v/>
      </c>
      <c r="G159" s="89" t="str">
        <f>IF('Step 2- Activity Inventory'!D162="","",'Step 2- Activity Inventory'!D162)</f>
        <v/>
      </c>
      <c r="H159" s="90"/>
      <c r="I159" s="24"/>
      <c r="J159" s="24"/>
      <c r="K159" s="91"/>
      <c r="L159" s="92" t="str">
        <f>IF(OR('Step 2- Activity Inventory'!O162=6,AND('Step 2- Activity Inventory'!O162=5,E159="Genius")),'Step 1- Hrly Rate Calc'!$D$18,"")</f>
        <v/>
      </c>
      <c r="M159" s="93" t="str">
        <f t="shared" si="6"/>
        <v/>
      </c>
      <c r="N159" s="93" t="str">
        <f>IF(L159="","",IF(IFERROR((G159/60)*M159*2*'Step 1- Hrly Rate Calc'!$D$14,"")&lt;0,"N/A",IFERROR((G159/60)*M159*2*'Step 1- Hrly Rate Calc'!$D$14,"")))</f>
        <v/>
      </c>
      <c r="O159" s="77" t="str">
        <f t="shared" si="7"/>
        <v/>
      </c>
      <c r="P159" s="77" t="str">
        <f t="shared" si="8"/>
        <v/>
      </c>
    </row>
    <row r="160" spans="2:16" s="61" customFormat="1" ht="34" customHeight="1" x14ac:dyDescent="0.2">
      <c r="B160" s="77" t="str">
        <f>IF('Step 2- Activity Inventory'!B163="","",'Step 2- Activity Inventory'!B163)</f>
        <v/>
      </c>
      <c r="C160" s="77" t="str">
        <f>IF('Step 2- Activity Inventory'!C163="","",'Step 2- Activity Inventory'!C163)</f>
        <v/>
      </c>
      <c r="D160" s="88" t="str">
        <f>IF('Step 2- Activity Inventory'!E163="","",'Step 2- Activity Inventory'!E163)</f>
        <v/>
      </c>
      <c r="E160" s="88" t="str">
        <f>IF('Step 2- Activity Inventory'!F163="","",'Step 2- Activity Inventory'!F163)</f>
        <v/>
      </c>
      <c r="F160" s="88" t="str">
        <f>IF(E160="Genius","N/A",IF('Step 2- Activity Inventory'!G163="","",'Step 2- Activity Inventory'!G163))</f>
        <v/>
      </c>
      <c r="G160" s="89" t="str">
        <f>IF('Step 2- Activity Inventory'!D163="","",'Step 2- Activity Inventory'!D163)</f>
        <v/>
      </c>
      <c r="H160" s="90"/>
      <c r="I160" s="24"/>
      <c r="J160" s="24"/>
      <c r="K160" s="91"/>
      <c r="L160" s="92" t="str">
        <f>IF(OR('Step 2- Activity Inventory'!O163=6,AND('Step 2- Activity Inventory'!O163=5,E160="Genius")),'Step 1- Hrly Rate Calc'!$D$18,"")</f>
        <v/>
      </c>
      <c r="M160" s="93" t="str">
        <f t="shared" si="6"/>
        <v/>
      </c>
      <c r="N160" s="93" t="str">
        <f>IF(L160="","",IF(IFERROR((G160/60)*M160*2*'Step 1- Hrly Rate Calc'!$D$14,"")&lt;0,"N/A",IFERROR((G160/60)*M160*2*'Step 1- Hrly Rate Calc'!$D$14,"")))</f>
        <v/>
      </c>
      <c r="O160" s="77" t="str">
        <f t="shared" si="7"/>
        <v/>
      </c>
      <c r="P160" s="77" t="str">
        <f t="shared" si="8"/>
        <v/>
      </c>
    </row>
    <row r="161" spans="2:16" s="61" customFormat="1" ht="34" customHeight="1" x14ac:dyDescent="0.2">
      <c r="B161" s="77" t="str">
        <f>IF('Step 2- Activity Inventory'!B164="","",'Step 2- Activity Inventory'!B164)</f>
        <v/>
      </c>
      <c r="C161" s="77" t="str">
        <f>IF('Step 2- Activity Inventory'!C164="","",'Step 2- Activity Inventory'!C164)</f>
        <v/>
      </c>
      <c r="D161" s="88" t="str">
        <f>IF('Step 2- Activity Inventory'!E164="","",'Step 2- Activity Inventory'!E164)</f>
        <v/>
      </c>
      <c r="E161" s="88" t="str">
        <f>IF('Step 2- Activity Inventory'!F164="","",'Step 2- Activity Inventory'!F164)</f>
        <v/>
      </c>
      <c r="F161" s="88" t="str">
        <f>IF(E161="Genius","N/A",IF('Step 2- Activity Inventory'!G164="","",'Step 2- Activity Inventory'!G164))</f>
        <v/>
      </c>
      <c r="G161" s="89" t="str">
        <f>IF('Step 2- Activity Inventory'!D164="","",'Step 2- Activity Inventory'!D164)</f>
        <v/>
      </c>
      <c r="H161" s="90"/>
      <c r="I161" s="24"/>
      <c r="J161" s="24"/>
      <c r="K161" s="91"/>
      <c r="L161" s="92" t="str">
        <f>IF(OR('Step 2- Activity Inventory'!O164=6,AND('Step 2- Activity Inventory'!O164=5,E161="Genius")),'Step 1- Hrly Rate Calc'!$D$18,"")</f>
        <v/>
      </c>
      <c r="M161" s="93" t="str">
        <f t="shared" si="6"/>
        <v/>
      </c>
      <c r="N161" s="93" t="str">
        <f>IF(L161="","",IF(IFERROR((G161/60)*M161*2*'Step 1- Hrly Rate Calc'!$D$14,"")&lt;0,"N/A",IFERROR((G161/60)*M161*2*'Step 1- Hrly Rate Calc'!$D$14,"")))</f>
        <v/>
      </c>
      <c r="O161" s="77" t="str">
        <f t="shared" si="7"/>
        <v/>
      </c>
      <c r="P161" s="77" t="str">
        <f t="shared" si="8"/>
        <v/>
      </c>
    </row>
    <row r="162" spans="2:16" s="61" customFormat="1" ht="34" customHeight="1" x14ac:dyDescent="0.2">
      <c r="B162" s="77" t="str">
        <f>IF('Step 2- Activity Inventory'!B165="","",'Step 2- Activity Inventory'!B165)</f>
        <v/>
      </c>
      <c r="C162" s="77" t="str">
        <f>IF('Step 2- Activity Inventory'!C165="","",'Step 2- Activity Inventory'!C165)</f>
        <v/>
      </c>
      <c r="D162" s="88" t="str">
        <f>IF('Step 2- Activity Inventory'!E165="","",'Step 2- Activity Inventory'!E165)</f>
        <v/>
      </c>
      <c r="E162" s="88" t="str">
        <f>IF('Step 2- Activity Inventory'!F165="","",'Step 2- Activity Inventory'!F165)</f>
        <v/>
      </c>
      <c r="F162" s="88" t="str">
        <f>IF(E162="Genius","N/A",IF('Step 2- Activity Inventory'!G165="","",'Step 2- Activity Inventory'!G165))</f>
        <v/>
      </c>
      <c r="G162" s="89" t="str">
        <f>IF('Step 2- Activity Inventory'!D165="","",'Step 2- Activity Inventory'!D165)</f>
        <v/>
      </c>
      <c r="H162" s="90"/>
      <c r="I162" s="24"/>
      <c r="J162" s="24"/>
      <c r="K162" s="91"/>
      <c r="L162" s="92" t="str">
        <f>IF(OR('Step 2- Activity Inventory'!O165=6,AND('Step 2- Activity Inventory'!O165=5,E162="Genius")),'Step 1- Hrly Rate Calc'!$D$18,"")</f>
        <v/>
      </c>
      <c r="M162" s="93" t="str">
        <f t="shared" si="6"/>
        <v/>
      </c>
      <c r="N162" s="93" t="str">
        <f>IF(L162="","",IF(IFERROR((G162/60)*M162*2*'Step 1- Hrly Rate Calc'!$D$14,"")&lt;0,"N/A",IFERROR((G162/60)*M162*2*'Step 1- Hrly Rate Calc'!$D$14,"")))</f>
        <v/>
      </c>
      <c r="O162" s="77" t="str">
        <f t="shared" si="7"/>
        <v/>
      </c>
      <c r="P162" s="77" t="str">
        <f t="shared" si="8"/>
        <v/>
      </c>
    </row>
    <row r="163" spans="2:16" s="61" customFormat="1" ht="34" customHeight="1" x14ac:dyDescent="0.2">
      <c r="B163" s="77" t="str">
        <f>IF('Step 2- Activity Inventory'!B166="","",'Step 2- Activity Inventory'!B166)</f>
        <v/>
      </c>
      <c r="C163" s="77" t="str">
        <f>IF('Step 2- Activity Inventory'!C166="","",'Step 2- Activity Inventory'!C166)</f>
        <v/>
      </c>
      <c r="D163" s="88" t="str">
        <f>IF('Step 2- Activity Inventory'!E166="","",'Step 2- Activity Inventory'!E166)</f>
        <v/>
      </c>
      <c r="E163" s="88" t="str">
        <f>IF('Step 2- Activity Inventory'!F166="","",'Step 2- Activity Inventory'!F166)</f>
        <v/>
      </c>
      <c r="F163" s="88" t="str">
        <f>IF(E163="Genius","N/A",IF('Step 2- Activity Inventory'!G166="","",'Step 2- Activity Inventory'!G166))</f>
        <v/>
      </c>
      <c r="G163" s="89" t="str">
        <f>IF('Step 2- Activity Inventory'!D166="","",'Step 2- Activity Inventory'!D166)</f>
        <v/>
      </c>
      <c r="H163" s="90"/>
      <c r="I163" s="24"/>
      <c r="J163" s="24"/>
      <c r="K163" s="91"/>
      <c r="L163" s="92" t="str">
        <f>IF(OR('Step 2- Activity Inventory'!O166=6,AND('Step 2- Activity Inventory'!O166=5,E163="Genius")),'Step 1- Hrly Rate Calc'!$D$18,"")</f>
        <v/>
      </c>
      <c r="M163" s="93" t="str">
        <f t="shared" si="6"/>
        <v/>
      </c>
      <c r="N163" s="93" t="str">
        <f>IF(L163="","",IF(IFERROR((G163/60)*M163*2*'Step 1- Hrly Rate Calc'!$D$14,"")&lt;0,"N/A",IFERROR((G163/60)*M163*2*'Step 1- Hrly Rate Calc'!$D$14,"")))</f>
        <v/>
      </c>
      <c r="O163" s="77" t="str">
        <f t="shared" si="7"/>
        <v/>
      </c>
      <c r="P163" s="77" t="str">
        <f t="shared" si="8"/>
        <v/>
      </c>
    </row>
    <row r="164" spans="2:16" s="61" customFormat="1" ht="34" customHeight="1" x14ac:dyDescent="0.2">
      <c r="B164" s="77" t="str">
        <f>IF('Step 2- Activity Inventory'!B167="","",'Step 2- Activity Inventory'!B167)</f>
        <v/>
      </c>
      <c r="C164" s="77" t="str">
        <f>IF('Step 2- Activity Inventory'!C167="","",'Step 2- Activity Inventory'!C167)</f>
        <v/>
      </c>
      <c r="D164" s="88" t="str">
        <f>IF('Step 2- Activity Inventory'!E167="","",'Step 2- Activity Inventory'!E167)</f>
        <v/>
      </c>
      <c r="E164" s="88" t="str">
        <f>IF('Step 2- Activity Inventory'!F167="","",'Step 2- Activity Inventory'!F167)</f>
        <v/>
      </c>
      <c r="F164" s="88" t="str">
        <f>IF(E164="Genius","N/A",IF('Step 2- Activity Inventory'!G167="","",'Step 2- Activity Inventory'!G167))</f>
        <v/>
      </c>
      <c r="G164" s="89" t="str">
        <f>IF('Step 2- Activity Inventory'!D167="","",'Step 2- Activity Inventory'!D167)</f>
        <v/>
      </c>
      <c r="H164" s="90"/>
      <c r="I164" s="24"/>
      <c r="J164" s="24"/>
      <c r="K164" s="91"/>
      <c r="L164" s="92" t="str">
        <f>IF(OR('Step 2- Activity Inventory'!O167=6,AND('Step 2- Activity Inventory'!O167=5,E164="Genius")),'Step 1- Hrly Rate Calc'!$D$18,"")</f>
        <v/>
      </c>
      <c r="M164" s="93" t="str">
        <f t="shared" si="6"/>
        <v/>
      </c>
      <c r="N164" s="93" t="str">
        <f>IF(L164="","",IF(IFERROR((G164/60)*M164*2*'Step 1- Hrly Rate Calc'!$D$14,"")&lt;0,"N/A",IFERROR((G164/60)*M164*2*'Step 1- Hrly Rate Calc'!$D$14,"")))</f>
        <v/>
      </c>
      <c r="O164" s="77" t="str">
        <f t="shared" si="7"/>
        <v/>
      </c>
      <c r="P164" s="77" t="str">
        <f t="shared" si="8"/>
        <v/>
      </c>
    </row>
    <row r="165" spans="2:16" s="61" customFormat="1" ht="34" customHeight="1" x14ac:dyDescent="0.2">
      <c r="B165" s="77" t="str">
        <f>IF('Step 2- Activity Inventory'!B168="","",'Step 2- Activity Inventory'!B168)</f>
        <v/>
      </c>
      <c r="C165" s="77" t="str">
        <f>IF('Step 2- Activity Inventory'!C168="","",'Step 2- Activity Inventory'!C168)</f>
        <v/>
      </c>
      <c r="D165" s="88" t="str">
        <f>IF('Step 2- Activity Inventory'!E168="","",'Step 2- Activity Inventory'!E168)</f>
        <v/>
      </c>
      <c r="E165" s="88" t="str">
        <f>IF('Step 2- Activity Inventory'!F168="","",'Step 2- Activity Inventory'!F168)</f>
        <v/>
      </c>
      <c r="F165" s="88" t="str">
        <f>IF(E165="Genius","N/A",IF('Step 2- Activity Inventory'!G168="","",'Step 2- Activity Inventory'!G168))</f>
        <v/>
      </c>
      <c r="G165" s="89" t="str">
        <f>IF('Step 2- Activity Inventory'!D168="","",'Step 2- Activity Inventory'!D168)</f>
        <v/>
      </c>
      <c r="H165" s="90"/>
      <c r="I165" s="24"/>
      <c r="J165" s="24"/>
      <c r="K165" s="91"/>
      <c r="L165" s="92" t="str">
        <f>IF(OR('Step 2- Activity Inventory'!O168=6,AND('Step 2- Activity Inventory'!O168=5,E165="Genius")),'Step 1- Hrly Rate Calc'!$D$18,"")</f>
        <v/>
      </c>
      <c r="M165" s="93" t="str">
        <f t="shared" si="6"/>
        <v/>
      </c>
      <c r="N165" s="93" t="str">
        <f>IF(L165="","",IF(IFERROR((G165/60)*M165*2*'Step 1- Hrly Rate Calc'!$D$14,"")&lt;0,"N/A",IFERROR((G165/60)*M165*2*'Step 1- Hrly Rate Calc'!$D$14,"")))</f>
        <v/>
      </c>
      <c r="O165" s="77" t="str">
        <f t="shared" si="7"/>
        <v/>
      </c>
      <c r="P165" s="77" t="str">
        <f t="shared" si="8"/>
        <v/>
      </c>
    </row>
    <row r="166" spans="2:16" s="61" customFormat="1" ht="34" customHeight="1" x14ac:dyDescent="0.2">
      <c r="B166" s="77" t="str">
        <f>IF('Step 2- Activity Inventory'!B169="","",'Step 2- Activity Inventory'!B169)</f>
        <v/>
      </c>
      <c r="C166" s="77" t="str">
        <f>IF('Step 2- Activity Inventory'!C169="","",'Step 2- Activity Inventory'!C169)</f>
        <v/>
      </c>
      <c r="D166" s="88" t="str">
        <f>IF('Step 2- Activity Inventory'!E169="","",'Step 2- Activity Inventory'!E169)</f>
        <v/>
      </c>
      <c r="E166" s="88" t="str">
        <f>IF('Step 2- Activity Inventory'!F169="","",'Step 2- Activity Inventory'!F169)</f>
        <v/>
      </c>
      <c r="F166" s="88" t="str">
        <f>IF(E166="Genius","N/A",IF('Step 2- Activity Inventory'!G169="","",'Step 2- Activity Inventory'!G169))</f>
        <v/>
      </c>
      <c r="G166" s="89" t="str">
        <f>IF('Step 2- Activity Inventory'!D169="","",'Step 2- Activity Inventory'!D169)</f>
        <v/>
      </c>
      <c r="H166" s="90"/>
      <c r="I166" s="24"/>
      <c r="J166" s="24"/>
      <c r="K166" s="91"/>
      <c r="L166" s="92" t="str">
        <f>IF(OR('Step 2- Activity Inventory'!O169=6,AND('Step 2- Activity Inventory'!O169=5,E166="Genius")),'Step 1- Hrly Rate Calc'!$D$18,"")</f>
        <v/>
      </c>
      <c r="M166" s="93" t="str">
        <f t="shared" si="6"/>
        <v/>
      </c>
      <c r="N166" s="93" t="str">
        <f>IF(L166="","",IF(IFERROR((G166/60)*M166*2*'Step 1- Hrly Rate Calc'!$D$14,"")&lt;0,"N/A",IFERROR((G166/60)*M166*2*'Step 1- Hrly Rate Calc'!$D$14,"")))</f>
        <v/>
      </c>
      <c r="O166" s="77" t="str">
        <f t="shared" si="7"/>
        <v/>
      </c>
      <c r="P166" s="77" t="str">
        <f t="shared" si="8"/>
        <v/>
      </c>
    </row>
    <row r="167" spans="2:16" s="61" customFormat="1" ht="34" customHeight="1" x14ac:dyDescent="0.2">
      <c r="B167" s="77" t="str">
        <f>IF('Step 2- Activity Inventory'!B170="","",'Step 2- Activity Inventory'!B170)</f>
        <v/>
      </c>
      <c r="C167" s="77" t="str">
        <f>IF('Step 2- Activity Inventory'!C170="","",'Step 2- Activity Inventory'!C170)</f>
        <v/>
      </c>
      <c r="D167" s="88" t="str">
        <f>IF('Step 2- Activity Inventory'!E170="","",'Step 2- Activity Inventory'!E170)</f>
        <v/>
      </c>
      <c r="E167" s="88" t="str">
        <f>IF('Step 2- Activity Inventory'!F170="","",'Step 2- Activity Inventory'!F170)</f>
        <v/>
      </c>
      <c r="F167" s="88" t="str">
        <f>IF(E167="Genius","N/A",IF('Step 2- Activity Inventory'!G170="","",'Step 2- Activity Inventory'!G170))</f>
        <v/>
      </c>
      <c r="G167" s="89" t="str">
        <f>IF('Step 2- Activity Inventory'!D170="","",'Step 2- Activity Inventory'!D170)</f>
        <v/>
      </c>
      <c r="H167" s="90"/>
      <c r="I167" s="24"/>
      <c r="J167" s="24"/>
      <c r="K167" s="91"/>
      <c r="L167" s="92" t="str">
        <f>IF(OR('Step 2- Activity Inventory'!O170=6,AND('Step 2- Activity Inventory'!O170=5,E167="Genius")),'Step 1- Hrly Rate Calc'!$D$18,"")</f>
        <v/>
      </c>
      <c r="M167" s="93" t="str">
        <f t="shared" si="6"/>
        <v/>
      </c>
      <c r="N167" s="93" t="str">
        <f>IF(L167="","",IF(IFERROR((G167/60)*M167*2*'Step 1- Hrly Rate Calc'!$D$14,"")&lt;0,"N/A",IFERROR((G167/60)*M167*2*'Step 1- Hrly Rate Calc'!$D$14,"")))</f>
        <v/>
      </c>
      <c r="O167" s="77" t="str">
        <f t="shared" si="7"/>
        <v/>
      </c>
      <c r="P167" s="77" t="str">
        <f t="shared" si="8"/>
        <v/>
      </c>
    </row>
    <row r="168" spans="2:16" s="61" customFormat="1" ht="34" customHeight="1" x14ac:dyDescent="0.2">
      <c r="B168" s="77" t="str">
        <f>IF('Step 2- Activity Inventory'!B171="","",'Step 2- Activity Inventory'!B171)</f>
        <v/>
      </c>
      <c r="C168" s="77" t="str">
        <f>IF('Step 2- Activity Inventory'!C171="","",'Step 2- Activity Inventory'!C171)</f>
        <v/>
      </c>
      <c r="D168" s="88" t="str">
        <f>IF('Step 2- Activity Inventory'!E171="","",'Step 2- Activity Inventory'!E171)</f>
        <v/>
      </c>
      <c r="E168" s="88" t="str">
        <f>IF('Step 2- Activity Inventory'!F171="","",'Step 2- Activity Inventory'!F171)</f>
        <v/>
      </c>
      <c r="F168" s="88" t="str">
        <f>IF(E168="Genius","N/A",IF('Step 2- Activity Inventory'!G171="","",'Step 2- Activity Inventory'!G171))</f>
        <v/>
      </c>
      <c r="G168" s="89" t="str">
        <f>IF('Step 2- Activity Inventory'!D171="","",'Step 2- Activity Inventory'!D171)</f>
        <v/>
      </c>
      <c r="H168" s="90"/>
      <c r="I168" s="24"/>
      <c r="J168" s="24"/>
      <c r="K168" s="91"/>
      <c r="L168" s="92" t="str">
        <f>IF(OR('Step 2- Activity Inventory'!O171=6,AND('Step 2- Activity Inventory'!O171=5,E168="Genius")),'Step 1- Hrly Rate Calc'!$D$18,"")</f>
        <v/>
      </c>
      <c r="M168" s="93" t="str">
        <f t="shared" si="6"/>
        <v/>
      </c>
      <c r="N168" s="93" t="str">
        <f>IF(L168="","",IF(IFERROR((G168/60)*M168*2*'Step 1- Hrly Rate Calc'!$D$14,"")&lt;0,"N/A",IFERROR((G168/60)*M168*2*'Step 1- Hrly Rate Calc'!$D$14,"")))</f>
        <v/>
      </c>
      <c r="O168" s="77" t="str">
        <f t="shared" si="7"/>
        <v/>
      </c>
      <c r="P168" s="77" t="str">
        <f t="shared" si="8"/>
        <v/>
      </c>
    </row>
    <row r="169" spans="2:16" s="61" customFormat="1" ht="34" customHeight="1" x14ac:dyDescent="0.2">
      <c r="B169" s="77" t="str">
        <f>IF('Step 2- Activity Inventory'!B172="","",'Step 2- Activity Inventory'!B172)</f>
        <v/>
      </c>
      <c r="C169" s="77" t="str">
        <f>IF('Step 2- Activity Inventory'!C172="","",'Step 2- Activity Inventory'!C172)</f>
        <v/>
      </c>
      <c r="D169" s="88" t="str">
        <f>IF('Step 2- Activity Inventory'!E172="","",'Step 2- Activity Inventory'!E172)</f>
        <v/>
      </c>
      <c r="E169" s="88" t="str">
        <f>IF('Step 2- Activity Inventory'!F172="","",'Step 2- Activity Inventory'!F172)</f>
        <v/>
      </c>
      <c r="F169" s="88" t="str">
        <f>IF(E169="Genius","N/A",IF('Step 2- Activity Inventory'!G172="","",'Step 2- Activity Inventory'!G172))</f>
        <v/>
      </c>
      <c r="G169" s="89" t="str">
        <f>IF('Step 2- Activity Inventory'!D172="","",'Step 2- Activity Inventory'!D172)</f>
        <v/>
      </c>
      <c r="H169" s="90"/>
      <c r="I169" s="24"/>
      <c r="J169" s="24"/>
      <c r="K169" s="91"/>
      <c r="L169" s="92" t="str">
        <f>IF(OR('Step 2- Activity Inventory'!O172=6,AND('Step 2- Activity Inventory'!O172=5,E169="Genius")),'Step 1- Hrly Rate Calc'!$D$18,"")</f>
        <v/>
      </c>
      <c r="M169" s="93" t="str">
        <f t="shared" si="6"/>
        <v/>
      </c>
      <c r="N169" s="93" t="str">
        <f>IF(L169="","",IF(IFERROR((G169/60)*M169*2*'Step 1- Hrly Rate Calc'!$D$14,"")&lt;0,"N/A",IFERROR((G169/60)*M169*2*'Step 1- Hrly Rate Calc'!$D$14,"")))</f>
        <v/>
      </c>
      <c r="O169" s="77" t="str">
        <f t="shared" si="7"/>
        <v/>
      </c>
      <c r="P169" s="77" t="str">
        <f t="shared" si="8"/>
        <v/>
      </c>
    </row>
    <row r="170" spans="2:16" s="61" customFormat="1" ht="34" customHeight="1" x14ac:dyDescent="0.2">
      <c r="B170" s="77" t="str">
        <f>IF('Step 2- Activity Inventory'!B173="","",'Step 2- Activity Inventory'!B173)</f>
        <v/>
      </c>
      <c r="C170" s="77" t="str">
        <f>IF('Step 2- Activity Inventory'!C173="","",'Step 2- Activity Inventory'!C173)</f>
        <v/>
      </c>
      <c r="D170" s="88" t="str">
        <f>IF('Step 2- Activity Inventory'!E173="","",'Step 2- Activity Inventory'!E173)</f>
        <v/>
      </c>
      <c r="E170" s="88" t="str">
        <f>IF('Step 2- Activity Inventory'!F173="","",'Step 2- Activity Inventory'!F173)</f>
        <v/>
      </c>
      <c r="F170" s="88" t="str">
        <f>IF(E170="Genius","N/A",IF('Step 2- Activity Inventory'!G173="","",'Step 2- Activity Inventory'!G173))</f>
        <v/>
      </c>
      <c r="G170" s="89" t="str">
        <f>IF('Step 2- Activity Inventory'!D173="","",'Step 2- Activity Inventory'!D173)</f>
        <v/>
      </c>
      <c r="H170" s="90"/>
      <c r="I170" s="24"/>
      <c r="J170" s="24"/>
      <c r="K170" s="91"/>
      <c r="L170" s="92" t="str">
        <f>IF(OR('Step 2- Activity Inventory'!O173=6,AND('Step 2- Activity Inventory'!O173=5,E170="Genius")),'Step 1- Hrly Rate Calc'!$D$18,"")</f>
        <v/>
      </c>
      <c r="M170" s="93" t="str">
        <f t="shared" si="6"/>
        <v/>
      </c>
      <c r="N170" s="93" t="str">
        <f>IF(L170="","",IF(IFERROR((G170/60)*M170*2*'Step 1- Hrly Rate Calc'!$D$14,"")&lt;0,"N/A",IFERROR((G170/60)*M170*2*'Step 1- Hrly Rate Calc'!$D$14,"")))</f>
        <v/>
      </c>
      <c r="O170" s="77" t="str">
        <f t="shared" si="7"/>
        <v/>
      </c>
      <c r="P170" s="77" t="str">
        <f t="shared" si="8"/>
        <v/>
      </c>
    </row>
    <row r="171" spans="2:16" s="61" customFormat="1" ht="34" customHeight="1" x14ac:dyDescent="0.2">
      <c r="B171" s="77" t="str">
        <f>IF('Step 2- Activity Inventory'!B174="","",'Step 2- Activity Inventory'!B174)</f>
        <v/>
      </c>
      <c r="C171" s="77" t="str">
        <f>IF('Step 2- Activity Inventory'!C174="","",'Step 2- Activity Inventory'!C174)</f>
        <v/>
      </c>
      <c r="D171" s="88" t="str">
        <f>IF('Step 2- Activity Inventory'!E174="","",'Step 2- Activity Inventory'!E174)</f>
        <v/>
      </c>
      <c r="E171" s="88" t="str">
        <f>IF('Step 2- Activity Inventory'!F174="","",'Step 2- Activity Inventory'!F174)</f>
        <v/>
      </c>
      <c r="F171" s="88" t="str">
        <f>IF(E171="Genius","N/A",IF('Step 2- Activity Inventory'!G174="","",'Step 2- Activity Inventory'!G174))</f>
        <v/>
      </c>
      <c r="G171" s="89" t="str">
        <f>IF('Step 2- Activity Inventory'!D174="","",'Step 2- Activity Inventory'!D174)</f>
        <v/>
      </c>
      <c r="H171" s="90"/>
      <c r="I171" s="24"/>
      <c r="J171" s="24"/>
      <c r="K171" s="91"/>
      <c r="L171" s="92" t="str">
        <f>IF(OR('Step 2- Activity Inventory'!O174=6,AND('Step 2- Activity Inventory'!O174=5,E171="Genius")),'Step 1- Hrly Rate Calc'!$D$18,"")</f>
        <v/>
      </c>
      <c r="M171" s="93" t="str">
        <f t="shared" si="6"/>
        <v/>
      </c>
      <c r="N171" s="93" t="str">
        <f>IF(L171="","",IF(IFERROR((G171/60)*M171*2*'Step 1- Hrly Rate Calc'!$D$14,"")&lt;0,"N/A",IFERROR((G171/60)*M171*2*'Step 1- Hrly Rate Calc'!$D$14,"")))</f>
        <v/>
      </c>
      <c r="O171" s="77" t="str">
        <f t="shared" si="7"/>
        <v/>
      </c>
      <c r="P171" s="77" t="str">
        <f t="shared" si="8"/>
        <v/>
      </c>
    </row>
    <row r="172" spans="2:16" s="61" customFormat="1" ht="34" customHeight="1" x14ac:dyDescent="0.2">
      <c r="B172" s="77" t="str">
        <f>IF('Step 2- Activity Inventory'!B175="","",'Step 2- Activity Inventory'!B175)</f>
        <v/>
      </c>
      <c r="C172" s="77" t="str">
        <f>IF('Step 2- Activity Inventory'!C175="","",'Step 2- Activity Inventory'!C175)</f>
        <v/>
      </c>
      <c r="D172" s="88" t="str">
        <f>IF('Step 2- Activity Inventory'!E175="","",'Step 2- Activity Inventory'!E175)</f>
        <v/>
      </c>
      <c r="E172" s="88" t="str">
        <f>IF('Step 2- Activity Inventory'!F175="","",'Step 2- Activity Inventory'!F175)</f>
        <v/>
      </c>
      <c r="F172" s="88" t="str">
        <f>IF(E172="Genius","N/A",IF('Step 2- Activity Inventory'!G175="","",'Step 2- Activity Inventory'!G175))</f>
        <v/>
      </c>
      <c r="G172" s="89" t="str">
        <f>IF('Step 2- Activity Inventory'!D175="","",'Step 2- Activity Inventory'!D175)</f>
        <v/>
      </c>
      <c r="H172" s="90"/>
      <c r="I172" s="24"/>
      <c r="J172" s="24"/>
      <c r="K172" s="91"/>
      <c r="L172" s="92" t="str">
        <f>IF(OR('Step 2- Activity Inventory'!O175=6,AND('Step 2- Activity Inventory'!O175=5,E172="Genius")),'Step 1- Hrly Rate Calc'!$D$18,"")</f>
        <v/>
      </c>
      <c r="M172" s="93" t="str">
        <f t="shared" si="6"/>
        <v/>
      </c>
      <c r="N172" s="93" t="str">
        <f>IF(L172="","",IF(IFERROR((G172/60)*M172*2*'Step 1- Hrly Rate Calc'!$D$14,"")&lt;0,"N/A",IFERROR((G172/60)*M172*2*'Step 1- Hrly Rate Calc'!$D$14,"")))</f>
        <v/>
      </c>
      <c r="O172" s="77" t="str">
        <f t="shared" si="7"/>
        <v/>
      </c>
      <c r="P172" s="77" t="str">
        <f t="shared" si="8"/>
        <v/>
      </c>
    </row>
    <row r="173" spans="2:16" s="61" customFormat="1" ht="34" customHeight="1" x14ac:dyDescent="0.2">
      <c r="B173" s="77" t="str">
        <f>IF('Step 2- Activity Inventory'!B176="","",'Step 2- Activity Inventory'!B176)</f>
        <v/>
      </c>
      <c r="C173" s="77" t="str">
        <f>IF('Step 2- Activity Inventory'!C176="","",'Step 2- Activity Inventory'!C176)</f>
        <v/>
      </c>
      <c r="D173" s="88" t="str">
        <f>IF('Step 2- Activity Inventory'!E176="","",'Step 2- Activity Inventory'!E176)</f>
        <v/>
      </c>
      <c r="E173" s="88" t="str">
        <f>IF('Step 2- Activity Inventory'!F176="","",'Step 2- Activity Inventory'!F176)</f>
        <v/>
      </c>
      <c r="F173" s="88" t="str">
        <f>IF(E173="Genius","N/A",IF('Step 2- Activity Inventory'!G176="","",'Step 2- Activity Inventory'!G176))</f>
        <v/>
      </c>
      <c r="G173" s="89" t="str">
        <f>IF('Step 2- Activity Inventory'!D176="","",'Step 2- Activity Inventory'!D176)</f>
        <v/>
      </c>
      <c r="H173" s="90"/>
      <c r="I173" s="24"/>
      <c r="J173" s="24"/>
      <c r="K173" s="91"/>
      <c r="L173" s="92" t="str">
        <f>IF(OR('Step 2- Activity Inventory'!O176=6,AND('Step 2- Activity Inventory'!O176=5,E173="Genius")),'Step 1- Hrly Rate Calc'!$D$18,"")</f>
        <v/>
      </c>
      <c r="M173" s="93" t="str">
        <f t="shared" si="6"/>
        <v/>
      </c>
      <c r="N173" s="93" t="str">
        <f>IF(L173="","",IF(IFERROR((G173/60)*M173*2*'Step 1- Hrly Rate Calc'!$D$14,"")&lt;0,"N/A",IFERROR((G173/60)*M173*2*'Step 1- Hrly Rate Calc'!$D$14,"")))</f>
        <v/>
      </c>
      <c r="O173" s="77" t="str">
        <f t="shared" si="7"/>
        <v/>
      </c>
      <c r="P173" s="77" t="str">
        <f t="shared" si="8"/>
        <v/>
      </c>
    </row>
    <row r="174" spans="2:16" s="61" customFormat="1" ht="34" customHeight="1" x14ac:dyDescent="0.2">
      <c r="B174" s="77" t="str">
        <f>IF('Step 2- Activity Inventory'!B177="","",'Step 2- Activity Inventory'!B177)</f>
        <v/>
      </c>
      <c r="C174" s="77" t="str">
        <f>IF('Step 2- Activity Inventory'!C177="","",'Step 2- Activity Inventory'!C177)</f>
        <v/>
      </c>
      <c r="D174" s="88" t="str">
        <f>IF('Step 2- Activity Inventory'!E177="","",'Step 2- Activity Inventory'!E177)</f>
        <v/>
      </c>
      <c r="E174" s="88" t="str">
        <f>IF('Step 2- Activity Inventory'!F177="","",'Step 2- Activity Inventory'!F177)</f>
        <v/>
      </c>
      <c r="F174" s="88" t="str">
        <f>IF(E174="Genius","N/A",IF('Step 2- Activity Inventory'!G177="","",'Step 2- Activity Inventory'!G177))</f>
        <v/>
      </c>
      <c r="G174" s="89" t="str">
        <f>IF('Step 2- Activity Inventory'!D177="","",'Step 2- Activity Inventory'!D177)</f>
        <v/>
      </c>
      <c r="H174" s="90"/>
      <c r="I174" s="24"/>
      <c r="J174" s="24"/>
      <c r="K174" s="91"/>
      <c r="L174" s="92" t="str">
        <f>IF(OR('Step 2- Activity Inventory'!O177=6,AND('Step 2- Activity Inventory'!O177=5,E174="Genius")),'Step 1- Hrly Rate Calc'!$D$18,"")</f>
        <v/>
      </c>
      <c r="M174" s="93" t="str">
        <f t="shared" si="6"/>
        <v/>
      </c>
      <c r="N174" s="93" t="str">
        <f>IF(L174="","",IF(IFERROR((G174/60)*M174*2*'Step 1- Hrly Rate Calc'!$D$14,"")&lt;0,"N/A",IFERROR((G174/60)*M174*2*'Step 1- Hrly Rate Calc'!$D$14,"")))</f>
        <v/>
      </c>
      <c r="O174" s="77" t="str">
        <f t="shared" si="7"/>
        <v/>
      </c>
      <c r="P174" s="77" t="str">
        <f t="shared" si="8"/>
        <v/>
      </c>
    </row>
    <row r="175" spans="2:16" s="61" customFormat="1" ht="34" customHeight="1" x14ac:dyDescent="0.2">
      <c r="B175" s="77" t="str">
        <f>IF('Step 2- Activity Inventory'!B178="","",'Step 2- Activity Inventory'!B178)</f>
        <v/>
      </c>
      <c r="C175" s="77" t="str">
        <f>IF('Step 2- Activity Inventory'!C178="","",'Step 2- Activity Inventory'!C178)</f>
        <v/>
      </c>
      <c r="D175" s="88" t="str">
        <f>IF('Step 2- Activity Inventory'!E178="","",'Step 2- Activity Inventory'!E178)</f>
        <v/>
      </c>
      <c r="E175" s="88" t="str">
        <f>IF('Step 2- Activity Inventory'!F178="","",'Step 2- Activity Inventory'!F178)</f>
        <v/>
      </c>
      <c r="F175" s="88" t="str">
        <f>IF(E175="Genius","N/A",IF('Step 2- Activity Inventory'!G178="","",'Step 2- Activity Inventory'!G178))</f>
        <v/>
      </c>
      <c r="G175" s="89" t="str">
        <f>IF('Step 2- Activity Inventory'!D178="","",'Step 2- Activity Inventory'!D178)</f>
        <v/>
      </c>
      <c r="H175" s="90"/>
      <c r="I175" s="24"/>
      <c r="J175" s="24"/>
      <c r="K175" s="91"/>
      <c r="L175" s="92" t="str">
        <f>IF(OR('Step 2- Activity Inventory'!O178=6,AND('Step 2- Activity Inventory'!O178=5,E175="Genius")),'Step 1- Hrly Rate Calc'!$D$18,"")</f>
        <v/>
      </c>
      <c r="M175" s="93" t="str">
        <f t="shared" si="6"/>
        <v/>
      </c>
      <c r="N175" s="93" t="str">
        <f>IF(L175="","",IF(IFERROR((G175/60)*M175*2*'Step 1- Hrly Rate Calc'!$D$14,"")&lt;0,"N/A",IFERROR((G175/60)*M175*2*'Step 1- Hrly Rate Calc'!$D$14,"")))</f>
        <v/>
      </c>
      <c r="O175" s="77" t="str">
        <f t="shared" si="7"/>
        <v/>
      </c>
      <c r="P175" s="77" t="str">
        <f t="shared" si="8"/>
        <v/>
      </c>
    </row>
    <row r="176" spans="2:16" s="61" customFormat="1" ht="34" customHeight="1" x14ac:dyDescent="0.2">
      <c r="B176" s="77" t="str">
        <f>IF('Step 2- Activity Inventory'!B179="","",'Step 2- Activity Inventory'!B179)</f>
        <v/>
      </c>
      <c r="C176" s="77" t="str">
        <f>IF('Step 2- Activity Inventory'!C179="","",'Step 2- Activity Inventory'!C179)</f>
        <v/>
      </c>
      <c r="D176" s="88" t="str">
        <f>IF('Step 2- Activity Inventory'!E179="","",'Step 2- Activity Inventory'!E179)</f>
        <v/>
      </c>
      <c r="E176" s="88" t="str">
        <f>IF('Step 2- Activity Inventory'!F179="","",'Step 2- Activity Inventory'!F179)</f>
        <v/>
      </c>
      <c r="F176" s="88" t="str">
        <f>IF(E176="Genius","N/A",IF('Step 2- Activity Inventory'!G179="","",'Step 2- Activity Inventory'!G179))</f>
        <v/>
      </c>
      <c r="G176" s="89" t="str">
        <f>IF('Step 2- Activity Inventory'!D179="","",'Step 2- Activity Inventory'!D179)</f>
        <v/>
      </c>
      <c r="H176" s="90"/>
      <c r="I176" s="24"/>
      <c r="J176" s="24"/>
      <c r="K176" s="91"/>
      <c r="L176" s="92" t="str">
        <f>IF(OR('Step 2- Activity Inventory'!O179=6,AND('Step 2- Activity Inventory'!O179=5,E176="Genius")),'Step 1- Hrly Rate Calc'!$D$18,"")</f>
        <v/>
      </c>
      <c r="M176" s="93" t="str">
        <f t="shared" si="6"/>
        <v/>
      </c>
      <c r="N176" s="93" t="str">
        <f>IF(L176="","",IF(IFERROR((G176/60)*M176*2*'Step 1- Hrly Rate Calc'!$D$14,"")&lt;0,"N/A",IFERROR((G176/60)*M176*2*'Step 1- Hrly Rate Calc'!$D$14,"")))</f>
        <v/>
      </c>
      <c r="O176" s="77" t="str">
        <f t="shared" si="7"/>
        <v/>
      </c>
      <c r="P176" s="77" t="str">
        <f t="shared" si="8"/>
        <v/>
      </c>
    </row>
    <row r="177" spans="2:16" s="61" customFormat="1" ht="34" customHeight="1" x14ac:dyDescent="0.2">
      <c r="B177" s="77" t="str">
        <f>IF('Step 2- Activity Inventory'!B180="","",'Step 2- Activity Inventory'!B180)</f>
        <v/>
      </c>
      <c r="C177" s="77" t="str">
        <f>IF('Step 2- Activity Inventory'!C180="","",'Step 2- Activity Inventory'!C180)</f>
        <v/>
      </c>
      <c r="D177" s="88" t="str">
        <f>IF('Step 2- Activity Inventory'!E180="","",'Step 2- Activity Inventory'!E180)</f>
        <v/>
      </c>
      <c r="E177" s="88" t="str">
        <f>IF('Step 2- Activity Inventory'!F180="","",'Step 2- Activity Inventory'!F180)</f>
        <v/>
      </c>
      <c r="F177" s="88" t="str">
        <f>IF(E177="Genius","N/A",IF('Step 2- Activity Inventory'!G180="","",'Step 2- Activity Inventory'!G180))</f>
        <v/>
      </c>
      <c r="G177" s="89" t="str">
        <f>IF('Step 2- Activity Inventory'!D180="","",'Step 2- Activity Inventory'!D180)</f>
        <v/>
      </c>
      <c r="H177" s="90"/>
      <c r="I177" s="24"/>
      <c r="J177" s="24"/>
      <c r="K177" s="91"/>
      <c r="L177" s="92" t="str">
        <f>IF(OR('Step 2- Activity Inventory'!O180=6,AND('Step 2- Activity Inventory'!O180=5,E177="Genius")),'Step 1- Hrly Rate Calc'!$D$18,"")</f>
        <v/>
      </c>
      <c r="M177" s="93" t="str">
        <f t="shared" si="6"/>
        <v/>
      </c>
      <c r="N177" s="93" t="str">
        <f>IF(L177="","",IF(IFERROR((G177/60)*M177*2*'Step 1- Hrly Rate Calc'!$D$14,"")&lt;0,"N/A",IFERROR((G177/60)*M177*2*'Step 1- Hrly Rate Calc'!$D$14,"")))</f>
        <v/>
      </c>
      <c r="O177" s="77" t="str">
        <f t="shared" si="7"/>
        <v/>
      </c>
      <c r="P177" s="77" t="str">
        <f t="shared" si="8"/>
        <v/>
      </c>
    </row>
    <row r="178" spans="2:16" s="61" customFormat="1" ht="34" customHeight="1" x14ac:dyDescent="0.2">
      <c r="B178" s="77" t="str">
        <f>IF('Step 2- Activity Inventory'!B181="","",'Step 2- Activity Inventory'!B181)</f>
        <v/>
      </c>
      <c r="C178" s="77" t="str">
        <f>IF('Step 2- Activity Inventory'!C181="","",'Step 2- Activity Inventory'!C181)</f>
        <v/>
      </c>
      <c r="D178" s="88" t="str">
        <f>IF('Step 2- Activity Inventory'!E181="","",'Step 2- Activity Inventory'!E181)</f>
        <v/>
      </c>
      <c r="E178" s="88" t="str">
        <f>IF('Step 2- Activity Inventory'!F181="","",'Step 2- Activity Inventory'!F181)</f>
        <v/>
      </c>
      <c r="F178" s="88" t="str">
        <f>IF(E178="Genius","N/A",IF('Step 2- Activity Inventory'!G181="","",'Step 2- Activity Inventory'!G181))</f>
        <v/>
      </c>
      <c r="G178" s="89" t="str">
        <f>IF('Step 2- Activity Inventory'!D181="","",'Step 2- Activity Inventory'!D181)</f>
        <v/>
      </c>
      <c r="H178" s="90"/>
      <c r="I178" s="24"/>
      <c r="J178" s="24"/>
      <c r="K178" s="91"/>
      <c r="L178" s="92" t="str">
        <f>IF(OR('Step 2- Activity Inventory'!O181=6,AND('Step 2- Activity Inventory'!O181=5,E178="Genius")),'Step 1- Hrly Rate Calc'!$D$18,"")</f>
        <v/>
      </c>
      <c r="M178" s="93" t="str">
        <f t="shared" si="6"/>
        <v/>
      </c>
      <c r="N178" s="93" t="str">
        <f>IF(L178="","",IF(IFERROR((G178/60)*M178*2*'Step 1- Hrly Rate Calc'!$D$14,"")&lt;0,"N/A",IFERROR((G178/60)*M178*2*'Step 1- Hrly Rate Calc'!$D$14,"")))</f>
        <v/>
      </c>
      <c r="O178" s="77" t="str">
        <f t="shared" si="7"/>
        <v/>
      </c>
      <c r="P178" s="77" t="str">
        <f t="shared" si="8"/>
        <v/>
      </c>
    </row>
    <row r="179" spans="2:16" s="61" customFormat="1" ht="34" customHeight="1" x14ac:dyDescent="0.2">
      <c r="B179" s="77" t="str">
        <f>IF('Step 2- Activity Inventory'!B182="","",'Step 2- Activity Inventory'!B182)</f>
        <v/>
      </c>
      <c r="C179" s="77" t="str">
        <f>IF('Step 2- Activity Inventory'!C182="","",'Step 2- Activity Inventory'!C182)</f>
        <v/>
      </c>
      <c r="D179" s="88" t="str">
        <f>IF('Step 2- Activity Inventory'!E182="","",'Step 2- Activity Inventory'!E182)</f>
        <v/>
      </c>
      <c r="E179" s="88" t="str">
        <f>IF('Step 2- Activity Inventory'!F182="","",'Step 2- Activity Inventory'!F182)</f>
        <v/>
      </c>
      <c r="F179" s="88" t="str">
        <f>IF(E179="Genius","N/A",IF('Step 2- Activity Inventory'!G182="","",'Step 2- Activity Inventory'!G182))</f>
        <v/>
      </c>
      <c r="G179" s="89" t="str">
        <f>IF('Step 2- Activity Inventory'!D182="","",'Step 2- Activity Inventory'!D182)</f>
        <v/>
      </c>
      <c r="H179" s="90"/>
      <c r="I179" s="24"/>
      <c r="J179" s="24"/>
      <c r="K179" s="91"/>
      <c r="L179" s="92" t="str">
        <f>IF(OR('Step 2- Activity Inventory'!O182=6,AND('Step 2- Activity Inventory'!O182=5,E179="Genius")),'Step 1- Hrly Rate Calc'!$D$18,"")</f>
        <v/>
      </c>
      <c r="M179" s="93" t="str">
        <f t="shared" si="6"/>
        <v/>
      </c>
      <c r="N179" s="93" t="str">
        <f>IF(L179="","",IF(IFERROR((G179/60)*M179*2*'Step 1- Hrly Rate Calc'!$D$14,"")&lt;0,"N/A",IFERROR((G179/60)*M179*2*'Step 1- Hrly Rate Calc'!$D$14,"")))</f>
        <v/>
      </c>
      <c r="O179" s="77" t="str">
        <f t="shared" si="7"/>
        <v/>
      </c>
      <c r="P179" s="77" t="str">
        <f t="shared" si="8"/>
        <v/>
      </c>
    </row>
    <row r="180" spans="2:16" s="61" customFormat="1" ht="34" customHeight="1" x14ac:dyDescent="0.2">
      <c r="B180" s="77" t="str">
        <f>IF('Step 2- Activity Inventory'!B183="","",'Step 2- Activity Inventory'!B183)</f>
        <v/>
      </c>
      <c r="C180" s="77" t="str">
        <f>IF('Step 2- Activity Inventory'!C183="","",'Step 2- Activity Inventory'!C183)</f>
        <v/>
      </c>
      <c r="D180" s="88" t="str">
        <f>IF('Step 2- Activity Inventory'!E183="","",'Step 2- Activity Inventory'!E183)</f>
        <v/>
      </c>
      <c r="E180" s="88" t="str">
        <f>IF('Step 2- Activity Inventory'!F183="","",'Step 2- Activity Inventory'!F183)</f>
        <v/>
      </c>
      <c r="F180" s="88" t="str">
        <f>IF(E180="Genius","N/A",IF('Step 2- Activity Inventory'!G183="","",'Step 2- Activity Inventory'!G183))</f>
        <v/>
      </c>
      <c r="G180" s="89" t="str">
        <f>IF('Step 2- Activity Inventory'!D183="","",'Step 2- Activity Inventory'!D183)</f>
        <v/>
      </c>
      <c r="H180" s="90"/>
      <c r="I180" s="24"/>
      <c r="J180" s="24"/>
      <c r="K180" s="91"/>
      <c r="L180" s="92" t="str">
        <f>IF(OR('Step 2- Activity Inventory'!O183=6,AND('Step 2- Activity Inventory'!O183=5,E180="Genius")),'Step 1- Hrly Rate Calc'!$D$18,"")</f>
        <v/>
      </c>
      <c r="M180" s="93" t="str">
        <f t="shared" si="6"/>
        <v/>
      </c>
      <c r="N180" s="93" t="str">
        <f>IF(L180="","",IF(IFERROR((G180/60)*M180*2*'Step 1- Hrly Rate Calc'!$D$14,"")&lt;0,"N/A",IFERROR((G180/60)*M180*2*'Step 1- Hrly Rate Calc'!$D$14,"")))</f>
        <v/>
      </c>
      <c r="O180" s="77" t="str">
        <f t="shared" si="7"/>
        <v/>
      </c>
      <c r="P180" s="77" t="str">
        <f t="shared" si="8"/>
        <v/>
      </c>
    </row>
    <row r="181" spans="2:16" s="61" customFormat="1" ht="34" customHeight="1" x14ac:dyDescent="0.2">
      <c r="B181" s="77" t="str">
        <f>IF('Step 2- Activity Inventory'!B184="","",'Step 2- Activity Inventory'!B184)</f>
        <v/>
      </c>
      <c r="C181" s="77" t="str">
        <f>IF('Step 2- Activity Inventory'!C184="","",'Step 2- Activity Inventory'!C184)</f>
        <v/>
      </c>
      <c r="D181" s="88" t="str">
        <f>IF('Step 2- Activity Inventory'!E184="","",'Step 2- Activity Inventory'!E184)</f>
        <v/>
      </c>
      <c r="E181" s="88" t="str">
        <f>IF('Step 2- Activity Inventory'!F184="","",'Step 2- Activity Inventory'!F184)</f>
        <v/>
      </c>
      <c r="F181" s="88" t="str">
        <f>IF(E181="Genius","N/A",IF('Step 2- Activity Inventory'!G184="","",'Step 2- Activity Inventory'!G184))</f>
        <v/>
      </c>
      <c r="G181" s="89" t="str">
        <f>IF('Step 2- Activity Inventory'!D184="","",'Step 2- Activity Inventory'!D184)</f>
        <v/>
      </c>
      <c r="H181" s="90"/>
      <c r="I181" s="24"/>
      <c r="J181" s="24"/>
      <c r="K181" s="91"/>
      <c r="L181" s="92" t="str">
        <f>IF(OR('Step 2- Activity Inventory'!O184=6,AND('Step 2- Activity Inventory'!O184=5,E181="Genius")),'Step 1- Hrly Rate Calc'!$D$18,"")</f>
        <v/>
      </c>
      <c r="M181" s="93" t="str">
        <f t="shared" si="6"/>
        <v/>
      </c>
      <c r="N181" s="93" t="str">
        <f>IF(L181="","",IF(IFERROR((G181/60)*M181*2*'Step 1- Hrly Rate Calc'!$D$14,"")&lt;0,"N/A",IFERROR((G181/60)*M181*2*'Step 1- Hrly Rate Calc'!$D$14,"")))</f>
        <v/>
      </c>
      <c r="O181" s="77" t="str">
        <f t="shared" si="7"/>
        <v/>
      </c>
      <c r="P181" s="77" t="str">
        <f t="shared" si="8"/>
        <v/>
      </c>
    </row>
    <row r="182" spans="2:16" s="61" customFormat="1" ht="34" customHeight="1" x14ac:dyDescent="0.2">
      <c r="B182" s="77" t="str">
        <f>IF('Step 2- Activity Inventory'!B185="","",'Step 2- Activity Inventory'!B185)</f>
        <v/>
      </c>
      <c r="C182" s="77" t="str">
        <f>IF('Step 2- Activity Inventory'!C185="","",'Step 2- Activity Inventory'!C185)</f>
        <v/>
      </c>
      <c r="D182" s="88" t="str">
        <f>IF('Step 2- Activity Inventory'!E185="","",'Step 2- Activity Inventory'!E185)</f>
        <v/>
      </c>
      <c r="E182" s="88" t="str">
        <f>IF('Step 2- Activity Inventory'!F185="","",'Step 2- Activity Inventory'!F185)</f>
        <v/>
      </c>
      <c r="F182" s="88" t="str">
        <f>IF(E182="Genius","N/A",IF('Step 2- Activity Inventory'!G185="","",'Step 2- Activity Inventory'!G185))</f>
        <v/>
      </c>
      <c r="G182" s="89" t="str">
        <f>IF('Step 2- Activity Inventory'!D185="","",'Step 2- Activity Inventory'!D185)</f>
        <v/>
      </c>
      <c r="H182" s="90"/>
      <c r="I182" s="24"/>
      <c r="J182" s="24"/>
      <c r="K182" s="91"/>
      <c r="L182" s="92" t="str">
        <f>IF(OR('Step 2- Activity Inventory'!O185=6,AND('Step 2- Activity Inventory'!O185=5,E182="Genius")),'Step 1- Hrly Rate Calc'!$D$18,"")</f>
        <v/>
      </c>
      <c r="M182" s="93" t="str">
        <f t="shared" si="6"/>
        <v/>
      </c>
      <c r="N182" s="93" t="str">
        <f>IF(L182="","",IF(IFERROR((G182/60)*M182*2*'Step 1- Hrly Rate Calc'!$D$14,"")&lt;0,"N/A",IFERROR((G182/60)*M182*2*'Step 1- Hrly Rate Calc'!$D$14,"")))</f>
        <v/>
      </c>
      <c r="O182" s="77" t="str">
        <f t="shared" si="7"/>
        <v/>
      </c>
      <c r="P182" s="77" t="str">
        <f t="shared" si="8"/>
        <v/>
      </c>
    </row>
    <row r="183" spans="2:16" s="61" customFormat="1" ht="34" customHeight="1" x14ac:dyDescent="0.2">
      <c r="B183" s="77" t="str">
        <f>IF('Step 2- Activity Inventory'!B186="","",'Step 2- Activity Inventory'!B186)</f>
        <v/>
      </c>
      <c r="C183" s="77" t="str">
        <f>IF('Step 2- Activity Inventory'!C186="","",'Step 2- Activity Inventory'!C186)</f>
        <v/>
      </c>
      <c r="D183" s="88" t="str">
        <f>IF('Step 2- Activity Inventory'!E186="","",'Step 2- Activity Inventory'!E186)</f>
        <v/>
      </c>
      <c r="E183" s="88" t="str">
        <f>IF('Step 2- Activity Inventory'!F186="","",'Step 2- Activity Inventory'!F186)</f>
        <v/>
      </c>
      <c r="F183" s="88" t="str">
        <f>IF(E183="Genius","N/A",IF('Step 2- Activity Inventory'!G186="","",'Step 2- Activity Inventory'!G186))</f>
        <v/>
      </c>
      <c r="G183" s="89" t="str">
        <f>IF('Step 2- Activity Inventory'!D186="","",'Step 2- Activity Inventory'!D186)</f>
        <v/>
      </c>
      <c r="H183" s="90"/>
      <c r="I183" s="24"/>
      <c r="J183" s="24"/>
      <c r="K183" s="91"/>
      <c r="L183" s="92" t="str">
        <f>IF(OR('Step 2- Activity Inventory'!O186=6,AND('Step 2- Activity Inventory'!O186=5,E183="Genius")),'Step 1- Hrly Rate Calc'!$D$18,"")</f>
        <v/>
      </c>
      <c r="M183" s="93" t="str">
        <f t="shared" si="6"/>
        <v/>
      </c>
      <c r="N183" s="93" t="str">
        <f>IF(L183="","",IF(IFERROR((G183/60)*M183*2*'Step 1- Hrly Rate Calc'!$D$14,"")&lt;0,"N/A",IFERROR((G183/60)*M183*2*'Step 1- Hrly Rate Calc'!$D$14,"")))</f>
        <v/>
      </c>
      <c r="O183" s="77" t="str">
        <f t="shared" si="7"/>
        <v/>
      </c>
      <c r="P183" s="77" t="str">
        <f t="shared" si="8"/>
        <v/>
      </c>
    </row>
    <row r="184" spans="2:16" s="61" customFormat="1" ht="34" customHeight="1" x14ac:dyDescent="0.2">
      <c r="B184" s="77" t="str">
        <f>IF('Step 2- Activity Inventory'!B187="","",'Step 2- Activity Inventory'!B187)</f>
        <v/>
      </c>
      <c r="C184" s="77" t="str">
        <f>IF('Step 2- Activity Inventory'!C187="","",'Step 2- Activity Inventory'!C187)</f>
        <v/>
      </c>
      <c r="D184" s="88" t="str">
        <f>IF('Step 2- Activity Inventory'!E187="","",'Step 2- Activity Inventory'!E187)</f>
        <v/>
      </c>
      <c r="E184" s="88" t="str">
        <f>IF('Step 2- Activity Inventory'!F187="","",'Step 2- Activity Inventory'!F187)</f>
        <v/>
      </c>
      <c r="F184" s="88" t="str">
        <f>IF(E184="Genius","N/A",IF('Step 2- Activity Inventory'!G187="","",'Step 2- Activity Inventory'!G187))</f>
        <v/>
      </c>
      <c r="G184" s="89" t="str">
        <f>IF('Step 2- Activity Inventory'!D187="","",'Step 2- Activity Inventory'!D187)</f>
        <v/>
      </c>
      <c r="H184" s="90"/>
      <c r="I184" s="24"/>
      <c r="J184" s="24"/>
      <c r="K184" s="91"/>
      <c r="L184" s="92" t="str">
        <f>IF(OR('Step 2- Activity Inventory'!O187=6,AND('Step 2- Activity Inventory'!O187=5,E184="Genius")),'Step 1- Hrly Rate Calc'!$D$18,"")</f>
        <v/>
      </c>
      <c r="M184" s="93" t="str">
        <f t="shared" si="6"/>
        <v/>
      </c>
      <c r="N184" s="93" t="str">
        <f>IF(L184="","",IF(IFERROR((G184/60)*M184*2*'Step 1- Hrly Rate Calc'!$D$14,"")&lt;0,"N/A",IFERROR((G184/60)*M184*2*'Step 1- Hrly Rate Calc'!$D$14,"")))</f>
        <v/>
      </c>
      <c r="O184" s="77" t="str">
        <f t="shared" si="7"/>
        <v/>
      </c>
      <c r="P184" s="77" t="str">
        <f t="shared" si="8"/>
        <v/>
      </c>
    </row>
    <row r="185" spans="2:16" s="61" customFormat="1" ht="34" customHeight="1" x14ac:dyDescent="0.2">
      <c r="B185" s="77" t="str">
        <f>IF('Step 2- Activity Inventory'!B188="","",'Step 2- Activity Inventory'!B188)</f>
        <v/>
      </c>
      <c r="C185" s="77" t="str">
        <f>IF('Step 2- Activity Inventory'!C188="","",'Step 2- Activity Inventory'!C188)</f>
        <v/>
      </c>
      <c r="D185" s="88" t="str">
        <f>IF('Step 2- Activity Inventory'!E188="","",'Step 2- Activity Inventory'!E188)</f>
        <v/>
      </c>
      <c r="E185" s="88" t="str">
        <f>IF('Step 2- Activity Inventory'!F188="","",'Step 2- Activity Inventory'!F188)</f>
        <v/>
      </c>
      <c r="F185" s="88" t="str">
        <f>IF(E185="Genius","N/A",IF('Step 2- Activity Inventory'!G188="","",'Step 2- Activity Inventory'!G188))</f>
        <v/>
      </c>
      <c r="G185" s="89" t="str">
        <f>IF('Step 2- Activity Inventory'!D188="","",'Step 2- Activity Inventory'!D188)</f>
        <v/>
      </c>
      <c r="H185" s="90"/>
      <c r="I185" s="24"/>
      <c r="J185" s="24"/>
      <c r="K185" s="91"/>
      <c r="L185" s="92" t="str">
        <f>IF(OR('Step 2- Activity Inventory'!O188=6,AND('Step 2- Activity Inventory'!O188=5,E185="Genius")),'Step 1- Hrly Rate Calc'!$D$18,"")</f>
        <v/>
      </c>
      <c r="M185" s="93" t="str">
        <f t="shared" si="6"/>
        <v/>
      </c>
      <c r="N185" s="93" t="str">
        <f>IF(L185="","",IF(IFERROR((G185/60)*M185*2*'Step 1- Hrly Rate Calc'!$D$14,"")&lt;0,"N/A",IFERROR((G185/60)*M185*2*'Step 1- Hrly Rate Calc'!$D$14,"")))</f>
        <v/>
      </c>
      <c r="O185" s="77" t="str">
        <f t="shared" si="7"/>
        <v/>
      </c>
      <c r="P185" s="77" t="str">
        <f t="shared" si="8"/>
        <v/>
      </c>
    </row>
    <row r="186" spans="2:16" s="61" customFormat="1" ht="34" customHeight="1" x14ac:dyDescent="0.2">
      <c r="B186" s="77" t="str">
        <f>IF('Step 2- Activity Inventory'!B189="","",'Step 2- Activity Inventory'!B189)</f>
        <v/>
      </c>
      <c r="C186" s="77" t="str">
        <f>IF('Step 2- Activity Inventory'!C189="","",'Step 2- Activity Inventory'!C189)</f>
        <v/>
      </c>
      <c r="D186" s="88" t="str">
        <f>IF('Step 2- Activity Inventory'!E189="","",'Step 2- Activity Inventory'!E189)</f>
        <v/>
      </c>
      <c r="E186" s="88" t="str">
        <f>IF('Step 2- Activity Inventory'!F189="","",'Step 2- Activity Inventory'!F189)</f>
        <v/>
      </c>
      <c r="F186" s="88" t="str">
        <f>IF(E186="Genius","N/A",IF('Step 2- Activity Inventory'!G189="","",'Step 2- Activity Inventory'!G189))</f>
        <v/>
      </c>
      <c r="G186" s="89" t="str">
        <f>IF('Step 2- Activity Inventory'!D189="","",'Step 2- Activity Inventory'!D189)</f>
        <v/>
      </c>
      <c r="H186" s="90"/>
      <c r="I186" s="24"/>
      <c r="J186" s="24"/>
      <c r="K186" s="91"/>
      <c r="L186" s="92" t="str">
        <f>IF(OR('Step 2- Activity Inventory'!O189=6,AND('Step 2- Activity Inventory'!O189=5,E186="Genius")),'Step 1- Hrly Rate Calc'!$D$18,"")</f>
        <v/>
      </c>
      <c r="M186" s="93" t="str">
        <f t="shared" si="6"/>
        <v/>
      </c>
      <c r="N186" s="93" t="str">
        <f>IF(L186="","",IF(IFERROR((G186/60)*M186*2*'Step 1- Hrly Rate Calc'!$D$14,"")&lt;0,"N/A",IFERROR((G186/60)*M186*2*'Step 1- Hrly Rate Calc'!$D$14,"")))</f>
        <v/>
      </c>
      <c r="O186" s="77" t="str">
        <f t="shared" si="7"/>
        <v/>
      </c>
      <c r="P186" s="77" t="str">
        <f t="shared" si="8"/>
        <v/>
      </c>
    </row>
    <row r="187" spans="2:16" s="61" customFormat="1" ht="34" customHeight="1" x14ac:dyDescent="0.2">
      <c r="B187" s="77" t="str">
        <f>IF('Step 2- Activity Inventory'!B190="","",'Step 2- Activity Inventory'!B190)</f>
        <v/>
      </c>
      <c r="C187" s="77" t="str">
        <f>IF('Step 2- Activity Inventory'!C190="","",'Step 2- Activity Inventory'!C190)</f>
        <v/>
      </c>
      <c r="D187" s="88" t="str">
        <f>IF('Step 2- Activity Inventory'!E190="","",'Step 2- Activity Inventory'!E190)</f>
        <v/>
      </c>
      <c r="E187" s="88" t="str">
        <f>IF('Step 2- Activity Inventory'!F190="","",'Step 2- Activity Inventory'!F190)</f>
        <v/>
      </c>
      <c r="F187" s="88" t="str">
        <f>IF(E187="Genius","N/A",IF('Step 2- Activity Inventory'!G190="","",'Step 2- Activity Inventory'!G190))</f>
        <v/>
      </c>
      <c r="G187" s="89" t="str">
        <f>IF('Step 2- Activity Inventory'!D190="","",'Step 2- Activity Inventory'!D190)</f>
        <v/>
      </c>
      <c r="H187" s="90"/>
      <c r="I187" s="24"/>
      <c r="J187" s="24"/>
      <c r="K187" s="91"/>
      <c r="L187" s="92" t="str">
        <f>IF(OR('Step 2- Activity Inventory'!O190=6,AND('Step 2- Activity Inventory'!O190=5,E187="Genius")),'Step 1- Hrly Rate Calc'!$D$18,"")</f>
        <v/>
      </c>
      <c r="M187" s="93" t="str">
        <f t="shared" si="6"/>
        <v/>
      </c>
      <c r="N187" s="93" t="str">
        <f>IF(L187="","",IF(IFERROR((G187/60)*M187*2*'Step 1- Hrly Rate Calc'!$D$14,"")&lt;0,"N/A",IFERROR((G187/60)*M187*2*'Step 1- Hrly Rate Calc'!$D$14,"")))</f>
        <v/>
      </c>
      <c r="O187" s="77" t="str">
        <f t="shared" si="7"/>
        <v/>
      </c>
      <c r="P187" s="77" t="str">
        <f t="shared" si="8"/>
        <v/>
      </c>
    </row>
    <row r="188" spans="2:16" s="61" customFormat="1" ht="34" customHeight="1" x14ac:dyDescent="0.2">
      <c r="B188" s="77" t="str">
        <f>IF('Step 2- Activity Inventory'!B191="","",'Step 2- Activity Inventory'!B191)</f>
        <v/>
      </c>
      <c r="C188" s="77" t="str">
        <f>IF('Step 2- Activity Inventory'!C191="","",'Step 2- Activity Inventory'!C191)</f>
        <v/>
      </c>
      <c r="D188" s="88" t="str">
        <f>IF('Step 2- Activity Inventory'!E191="","",'Step 2- Activity Inventory'!E191)</f>
        <v/>
      </c>
      <c r="E188" s="88" t="str">
        <f>IF('Step 2- Activity Inventory'!F191="","",'Step 2- Activity Inventory'!F191)</f>
        <v/>
      </c>
      <c r="F188" s="88" t="str">
        <f>IF(E188="Genius","N/A",IF('Step 2- Activity Inventory'!G191="","",'Step 2- Activity Inventory'!G191))</f>
        <v/>
      </c>
      <c r="G188" s="89" t="str">
        <f>IF('Step 2- Activity Inventory'!D191="","",'Step 2- Activity Inventory'!D191)</f>
        <v/>
      </c>
      <c r="H188" s="90"/>
      <c r="I188" s="24"/>
      <c r="J188" s="24"/>
      <c r="K188" s="91"/>
      <c r="L188" s="92" t="str">
        <f>IF(OR('Step 2- Activity Inventory'!O191=6,AND('Step 2- Activity Inventory'!O191=5,E188="Genius")),'Step 1- Hrly Rate Calc'!$D$18,"")</f>
        <v/>
      </c>
      <c r="M188" s="93" t="str">
        <f t="shared" si="6"/>
        <v/>
      </c>
      <c r="N188" s="93" t="str">
        <f>IF(L188="","",IF(IFERROR((G188/60)*M188*2*'Step 1- Hrly Rate Calc'!$D$14,"")&lt;0,"N/A",IFERROR((G188/60)*M188*2*'Step 1- Hrly Rate Calc'!$D$14,"")))</f>
        <v/>
      </c>
      <c r="O188" s="77" t="str">
        <f t="shared" si="7"/>
        <v/>
      </c>
      <c r="P188" s="77" t="str">
        <f t="shared" si="8"/>
        <v/>
      </c>
    </row>
    <row r="189" spans="2:16" s="61" customFormat="1" ht="34" customHeight="1" x14ac:dyDescent="0.2">
      <c r="B189" s="77" t="str">
        <f>IF('Step 2- Activity Inventory'!B192="","",'Step 2- Activity Inventory'!B192)</f>
        <v/>
      </c>
      <c r="C189" s="77" t="str">
        <f>IF('Step 2- Activity Inventory'!C192="","",'Step 2- Activity Inventory'!C192)</f>
        <v/>
      </c>
      <c r="D189" s="88" t="str">
        <f>IF('Step 2- Activity Inventory'!E192="","",'Step 2- Activity Inventory'!E192)</f>
        <v/>
      </c>
      <c r="E189" s="88" t="str">
        <f>IF('Step 2- Activity Inventory'!F192="","",'Step 2- Activity Inventory'!F192)</f>
        <v/>
      </c>
      <c r="F189" s="88" t="str">
        <f>IF(E189="Genius","N/A",IF('Step 2- Activity Inventory'!G192="","",'Step 2- Activity Inventory'!G192))</f>
        <v/>
      </c>
      <c r="G189" s="89" t="str">
        <f>IF('Step 2- Activity Inventory'!D192="","",'Step 2- Activity Inventory'!D192)</f>
        <v/>
      </c>
      <c r="H189" s="90"/>
      <c r="I189" s="24"/>
      <c r="J189" s="24"/>
      <c r="K189" s="91"/>
      <c r="L189" s="92" t="str">
        <f>IF(OR('Step 2- Activity Inventory'!O192=6,AND('Step 2- Activity Inventory'!O192=5,E189="Genius")),'Step 1- Hrly Rate Calc'!$D$18,"")</f>
        <v/>
      </c>
      <c r="M189" s="93" t="str">
        <f t="shared" si="6"/>
        <v/>
      </c>
      <c r="N189" s="93" t="str">
        <f>IF(L189="","",IF(IFERROR((G189/60)*M189*2*'Step 1- Hrly Rate Calc'!$D$14,"")&lt;0,"N/A",IFERROR((G189/60)*M189*2*'Step 1- Hrly Rate Calc'!$D$14,"")))</f>
        <v/>
      </c>
      <c r="O189" s="77" t="str">
        <f t="shared" si="7"/>
        <v/>
      </c>
      <c r="P189" s="77" t="str">
        <f t="shared" si="8"/>
        <v/>
      </c>
    </row>
    <row r="190" spans="2:16" s="61" customFormat="1" ht="34" customHeight="1" x14ac:dyDescent="0.2">
      <c r="B190" s="77" t="str">
        <f>IF('Step 2- Activity Inventory'!B193="","",'Step 2- Activity Inventory'!B193)</f>
        <v/>
      </c>
      <c r="C190" s="77" t="str">
        <f>IF('Step 2- Activity Inventory'!C193="","",'Step 2- Activity Inventory'!C193)</f>
        <v/>
      </c>
      <c r="D190" s="88" t="str">
        <f>IF('Step 2- Activity Inventory'!E193="","",'Step 2- Activity Inventory'!E193)</f>
        <v/>
      </c>
      <c r="E190" s="88" t="str">
        <f>IF('Step 2- Activity Inventory'!F193="","",'Step 2- Activity Inventory'!F193)</f>
        <v/>
      </c>
      <c r="F190" s="88" t="str">
        <f>IF(E190="Genius","N/A",IF('Step 2- Activity Inventory'!G193="","",'Step 2- Activity Inventory'!G193))</f>
        <v/>
      </c>
      <c r="G190" s="89" t="str">
        <f>IF('Step 2- Activity Inventory'!D193="","",'Step 2- Activity Inventory'!D193)</f>
        <v/>
      </c>
      <c r="H190" s="90"/>
      <c r="I190" s="24"/>
      <c r="J190" s="24"/>
      <c r="K190" s="91"/>
      <c r="L190" s="92" t="str">
        <f>IF(OR('Step 2- Activity Inventory'!O193=6,AND('Step 2- Activity Inventory'!O193=5,E190="Genius")),'Step 1- Hrly Rate Calc'!$D$18,"")</f>
        <v/>
      </c>
      <c r="M190" s="93" t="str">
        <f t="shared" si="6"/>
        <v/>
      </c>
      <c r="N190" s="93" t="str">
        <f>IF(L190="","",IF(IFERROR((G190/60)*M190*2*'Step 1- Hrly Rate Calc'!$D$14,"")&lt;0,"N/A",IFERROR((G190/60)*M190*2*'Step 1- Hrly Rate Calc'!$D$14,"")))</f>
        <v/>
      </c>
      <c r="O190" s="77" t="str">
        <f t="shared" si="7"/>
        <v/>
      </c>
      <c r="P190" s="77" t="str">
        <f t="shared" si="8"/>
        <v/>
      </c>
    </row>
    <row r="191" spans="2:16" s="61" customFormat="1" ht="34" customHeight="1" x14ac:dyDescent="0.2">
      <c r="B191" s="77" t="str">
        <f>IF('Step 2- Activity Inventory'!B194="","",'Step 2- Activity Inventory'!B194)</f>
        <v/>
      </c>
      <c r="C191" s="77" t="str">
        <f>IF('Step 2- Activity Inventory'!C194="","",'Step 2- Activity Inventory'!C194)</f>
        <v/>
      </c>
      <c r="D191" s="88" t="str">
        <f>IF('Step 2- Activity Inventory'!E194="","",'Step 2- Activity Inventory'!E194)</f>
        <v/>
      </c>
      <c r="E191" s="88" t="str">
        <f>IF('Step 2- Activity Inventory'!F194="","",'Step 2- Activity Inventory'!F194)</f>
        <v/>
      </c>
      <c r="F191" s="88" t="str">
        <f>IF(E191="Genius","N/A",IF('Step 2- Activity Inventory'!G194="","",'Step 2- Activity Inventory'!G194))</f>
        <v/>
      </c>
      <c r="G191" s="89" t="str">
        <f>IF('Step 2- Activity Inventory'!D194="","",'Step 2- Activity Inventory'!D194)</f>
        <v/>
      </c>
      <c r="H191" s="90"/>
      <c r="I191" s="24"/>
      <c r="J191" s="24"/>
      <c r="K191" s="91"/>
      <c r="L191" s="92" t="str">
        <f>IF(OR('Step 2- Activity Inventory'!O194=6,AND('Step 2- Activity Inventory'!O194=5,E191="Genius")),'Step 1- Hrly Rate Calc'!$D$18,"")</f>
        <v/>
      </c>
      <c r="M191" s="93" t="str">
        <f t="shared" si="6"/>
        <v/>
      </c>
      <c r="N191" s="93" t="str">
        <f>IF(L191="","",IF(IFERROR((G191/60)*M191*2*'Step 1- Hrly Rate Calc'!$D$14,"")&lt;0,"N/A",IFERROR((G191/60)*M191*2*'Step 1- Hrly Rate Calc'!$D$14,"")))</f>
        <v/>
      </c>
      <c r="O191" s="77" t="str">
        <f t="shared" si="7"/>
        <v/>
      </c>
      <c r="P191" s="77" t="str">
        <f t="shared" si="8"/>
        <v/>
      </c>
    </row>
    <row r="192" spans="2:16" s="61" customFormat="1" ht="34" customHeight="1" x14ac:dyDescent="0.2">
      <c r="B192" s="77" t="str">
        <f>IF('Step 2- Activity Inventory'!B195="","",'Step 2- Activity Inventory'!B195)</f>
        <v/>
      </c>
      <c r="C192" s="77" t="str">
        <f>IF('Step 2- Activity Inventory'!C195="","",'Step 2- Activity Inventory'!C195)</f>
        <v/>
      </c>
      <c r="D192" s="88" t="str">
        <f>IF('Step 2- Activity Inventory'!E195="","",'Step 2- Activity Inventory'!E195)</f>
        <v/>
      </c>
      <c r="E192" s="88" t="str">
        <f>IF('Step 2- Activity Inventory'!F195="","",'Step 2- Activity Inventory'!F195)</f>
        <v/>
      </c>
      <c r="F192" s="88" t="str">
        <f>IF(E192="Genius","N/A",IF('Step 2- Activity Inventory'!G195="","",'Step 2- Activity Inventory'!G195))</f>
        <v/>
      </c>
      <c r="G192" s="89" t="str">
        <f>IF('Step 2- Activity Inventory'!D195="","",'Step 2- Activity Inventory'!D195)</f>
        <v/>
      </c>
      <c r="H192" s="90"/>
      <c r="I192" s="24"/>
      <c r="J192" s="24"/>
      <c r="K192" s="91"/>
      <c r="L192" s="92" t="str">
        <f>IF(OR('Step 2- Activity Inventory'!O195=6,AND('Step 2- Activity Inventory'!O195=5,E192="Genius")),'Step 1- Hrly Rate Calc'!$D$18,"")</f>
        <v/>
      </c>
      <c r="M192" s="93" t="str">
        <f t="shared" si="6"/>
        <v/>
      </c>
      <c r="N192" s="93" t="str">
        <f>IF(L192="","",IF(IFERROR((G192/60)*M192*2*'Step 1- Hrly Rate Calc'!$D$14,"")&lt;0,"N/A",IFERROR((G192/60)*M192*2*'Step 1- Hrly Rate Calc'!$D$14,"")))</f>
        <v/>
      </c>
      <c r="O192" s="77" t="str">
        <f t="shared" si="7"/>
        <v/>
      </c>
      <c r="P192" s="77" t="str">
        <f t="shared" si="8"/>
        <v/>
      </c>
    </row>
    <row r="193" spans="2:16" s="61" customFormat="1" ht="34" customHeight="1" x14ac:dyDescent="0.2">
      <c r="B193" s="77" t="str">
        <f>IF('Step 2- Activity Inventory'!B196="","",'Step 2- Activity Inventory'!B196)</f>
        <v/>
      </c>
      <c r="C193" s="77" t="str">
        <f>IF('Step 2- Activity Inventory'!C196="","",'Step 2- Activity Inventory'!C196)</f>
        <v/>
      </c>
      <c r="D193" s="88" t="str">
        <f>IF('Step 2- Activity Inventory'!E196="","",'Step 2- Activity Inventory'!E196)</f>
        <v/>
      </c>
      <c r="E193" s="88" t="str">
        <f>IF('Step 2- Activity Inventory'!F196="","",'Step 2- Activity Inventory'!F196)</f>
        <v/>
      </c>
      <c r="F193" s="88" t="str">
        <f>IF(E193="Genius","N/A",IF('Step 2- Activity Inventory'!G196="","",'Step 2- Activity Inventory'!G196))</f>
        <v/>
      </c>
      <c r="G193" s="89" t="str">
        <f>IF('Step 2- Activity Inventory'!D196="","",'Step 2- Activity Inventory'!D196)</f>
        <v/>
      </c>
      <c r="H193" s="90"/>
      <c r="I193" s="24"/>
      <c r="J193" s="24"/>
      <c r="K193" s="91"/>
      <c r="L193" s="92" t="str">
        <f>IF(OR('Step 2- Activity Inventory'!O196=6,AND('Step 2- Activity Inventory'!O196=5,E193="Genius")),'Step 1- Hrly Rate Calc'!$D$18,"")</f>
        <v/>
      </c>
      <c r="M193" s="93" t="str">
        <f t="shared" si="6"/>
        <v/>
      </c>
      <c r="N193" s="93" t="str">
        <f>IF(L193="","",IF(IFERROR((G193/60)*M193*2*'Step 1- Hrly Rate Calc'!$D$14,"")&lt;0,"N/A",IFERROR((G193/60)*M193*2*'Step 1- Hrly Rate Calc'!$D$14,"")))</f>
        <v/>
      </c>
      <c r="O193" s="77" t="str">
        <f t="shared" si="7"/>
        <v/>
      </c>
      <c r="P193" s="77" t="str">
        <f t="shared" si="8"/>
        <v/>
      </c>
    </row>
    <row r="194" spans="2:16" s="61" customFormat="1" ht="34" customHeight="1" x14ac:dyDescent="0.2">
      <c r="B194" s="77" t="str">
        <f>IF('Step 2- Activity Inventory'!B197="","",'Step 2- Activity Inventory'!B197)</f>
        <v/>
      </c>
      <c r="C194" s="77" t="str">
        <f>IF('Step 2- Activity Inventory'!C197="","",'Step 2- Activity Inventory'!C197)</f>
        <v/>
      </c>
      <c r="D194" s="88" t="str">
        <f>IF('Step 2- Activity Inventory'!E197="","",'Step 2- Activity Inventory'!E197)</f>
        <v/>
      </c>
      <c r="E194" s="88" t="str">
        <f>IF('Step 2- Activity Inventory'!F197="","",'Step 2- Activity Inventory'!F197)</f>
        <v/>
      </c>
      <c r="F194" s="88" t="str">
        <f>IF(E194="Genius","N/A",IF('Step 2- Activity Inventory'!G197="","",'Step 2- Activity Inventory'!G197))</f>
        <v/>
      </c>
      <c r="G194" s="89" t="str">
        <f>IF('Step 2- Activity Inventory'!D197="","",'Step 2- Activity Inventory'!D197)</f>
        <v/>
      </c>
      <c r="H194" s="90"/>
      <c r="I194" s="24"/>
      <c r="J194" s="24"/>
      <c r="K194" s="91"/>
      <c r="L194" s="92" t="str">
        <f>IF(OR('Step 2- Activity Inventory'!O197=6,AND('Step 2- Activity Inventory'!O197=5,E194="Genius")),'Step 1- Hrly Rate Calc'!$D$18,"")</f>
        <v/>
      </c>
      <c r="M194" s="93" t="str">
        <f t="shared" si="6"/>
        <v/>
      </c>
      <c r="N194" s="93" t="str">
        <f>IF(L194="","",IF(IFERROR((G194/60)*M194*2*'Step 1- Hrly Rate Calc'!$D$14,"")&lt;0,"N/A",IFERROR((G194/60)*M194*2*'Step 1- Hrly Rate Calc'!$D$14,"")))</f>
        <v/>
      </c>
      <c r="O194" s="77" t="str">
        <f t="shared" si="7"/>
        <v/>
      </c>
      <c r="P194" s="77" t="str">
        <f t="shared" si="8"/>
        <v/>
      </c>
    </row>
    <row r="195" spans="2:16" s="61" customFormat="1" ht="34" customHeight="1" x14ac:dyDescent="0.2">
      <c r="B195" s="77" t="str">
        <f>IF('Step 2- Activity Inventory'!B198="","",'Step 2- Activity Inventory'!B198)</f>
        <v/>
      </c>
      <c r="C195" s="77" t="str">
        <f>IF('Step 2- Activity Inventory'!C198="","",'Step 2- Activity Inventory'!C198)</f>
        <v/>
      </c>
      <c r="D195" s="88" t="str">
        <f>IF('Step 2- Activity Inventory'!E198="","",'Step 2- Activity Inventory'!E198)</f>
        <v/>
      </c>
      <c r="E195" s="88" t="str">
        <f>IF('Step 2- Activity Inventory'!F198="","",'Step 2- Activity Inventory'!F198)</f>
        <v/>
      </c>
      <c r="F195" s="88" t="str">
        <f>IF(E195="Genius","N/A",IF('Step 2- Activity Inventory'!G198="","",'Step 2- Activity Inventory'!G198))</f>
        <v/>
      </c>
      <c r="G195" s="89" t="str">
        <f>IF('Step 2- Activity Inventory'!D198="","",'Step 2- Activity Inventory'!D198)</f>
        <v/>
      </c>
      <c r="H195" s="90"/>
      <c r="I195" s="24"/>
      <c r="J195" s="24"/>
      <c r="K195" s="91"/>
      <c r="L195" s="92" t="str">
        <f>IF(OR('Step 2- Activity Inventory'!O198=6,AND('Step 2- Activity Inventory'!O198=5,E195="Genius")),'Step 1- Hrly Rate Calc'!$D$18,"")</f>
        <v/>
      </c>
      <c r="M195" s="93" t="str">
        <f t="shared" si="6"/>
        <v/>
      </c>
      <c r="N195" s="93" t="str">
        <f>IF(L195="","",IF(IFERROR((G195/60)*M195*2*'Step 1- Hrly Rate Calc'!$D$14,"")&lt;0,"N/A",IFERROR((G195/60)*M195*2*'Step 1- Hrly Rate Calc'!$D$14,"")))</f>
        <v/>
      </c>
      <c r="O195" s="77" t="str">
        <f t="shared" si="7"/>
        <v/>
      </c>
      <c r="P195" s="77" t="str">
        <f t="shared" si="8"/>
        <v/>
      </c>
    </row>
    <row r="196" spans="2:16" s="61" customFormat="1" ht="34" customHeight="1" x14ac:dyDescent="0.2">
      <c r="B196" s="77" t="str">
        <f>IF('Step 2- Activity Inventory'!B199="","",'Step 2- Activity Inventory'!B199)</f>
        <v/>
      </c>
      <c r="C196" s="77" t="str">
        <f>IF('Step 2- Activity Inventory'!C199="","",'Step 2- Activity Inventory'!C199)</f>
        <v/>
      </c>
      <c r="D196" s="88" t="str">
        <f>IF('Step 2- Activity Inventory'!E199="","",'Step 2- Activity Inventory'!E199)</f>
        <v/>
      </c>
      <c r="E196" s="88" t="str">
        <f>IF('Step 2- Activity Inventory'!F199="","",'Step 2- Activity Inventory'!F199)</f>
        <v/>
      </c>
      <c r="F196" s="88" t="str">
        <f>IF(E196="Genius","N/A",IF('Step 2- Activity Inventory'!G199="","",'Step 2- Activity Inventory'!G199))</f>
        <v/>
      </c>
      <c r="G196" s="89" t="str">
        <f>IF('Step 2- Activity Inventory'!D199="","",'Step 2- Activity Inventory'!D199)</f>
        <v/>
      </c>
      <c r="H196" s="90"/>
      <c r="I196" s="24"/>
      <c r="J196" s="24"/>
      <c r="K196" s="91"/>
      <c r="L196" s="92" t="str">
        <f>IF(OR('Step 2- Activity Inventory'!O199=6,AND('Step 2- Activity Inventory'!O199=5,E196="Genius")),'Step 1- Hrly Rate Calc'!$D$18,"")</f>
        <v/>
      </c>
      <c r="M196" s="93" t="str">
        <f t="shared" si="6"/>
        <v/>
      </c>
      <c r="N196" s="93" t="str">
        <f>IF(L196="","",IF(IFERROR((G196/60)*M196*2*'Step 1- Hrly Rate Calc'!$D$14,"")&lt;0,"N/A",IFERROR((G196/60)*M196*2*'Step 1- Hrly Rate Calc'!$D$14,"")))</f>
        <v/>
      </c>
      <c r="O196" s="77" t="str">
        <f t="shared" si="7"/>
        <v/>
      </c>
      <c r="P196" s="77" t="str">
        <f t="shared" si="8"/>
        <v/>
      </c>
    </row>
    <row r="197" spans="2:16" s="61" customFormat="1" ht="34" customHeight="1" x14ac:dyDescent="0.2">
      <c r="B197" s="77" t="str">
        <f>IF('Step 2- Activity Inventory'!B200="","",'Step 2- Activity Inventory'!B200)</f>
        <v/>
      </c>
      <c r="C197" s="77" t="str">
        <f>IF('Step 2- Activity Inventory'!C200="","",'Step 2- Activity Inventory'!C200)</f>
        <v/>
      </c>
      <c r="D197" s="88" t="str">
        <f>IF('Step 2- Activity Inventory'!E200="","",'Step 2- Activity Inventory'!E200)</f>
        <v/>
      </c>
      <c r="E197" s="88" t="str">
        <f>IF('Step 2- Activity Inventory'!F200="","",'Step 2- Activity Inventory'!F200)</f>
        <v/>
      </c>
      <c r="F197" s="88" t="str">
        <f>IF(E197="Genius","N/A",IF('Step 2- Activity Inventory'!G200="","",'Step 2- Activity Inventory'!G200))</f>
        <v/>
      </c>
      <c r="G197" s="89" t="str">
        <f>IF('Step 2- Activity Inventory'!D200="","",'Step 2- Activity Inventory'!D200)</f>
        <v/>
      </c>
      <c r="H197" s="90"/>
      <c r="I197" s="24"/>
      <c r="J197" s="24"/>
      <c r="K197" s="91"/>
      <c r="L197" s="92" t="str">
        <f>IF(OR('Step 2- Activity Inventory'!O200=6,AND('Step 2- Activity Inventory'!O200=5,E197="Genius")),'Step 1- Hrly Rate Calc'!$D$18,"")</f>
        <v/>
      </c>
      <c r="M197" s="93" t="str">
        <f t="shared" si="6"/>
        <v/>
      </c>
      <c r="N197" s="93" t="str">
        <f>IF(L197="","",IF(IFERROR((G197/60)*M197*2*'Step 1- Hrly Rate Calc'!$D$14,"")&lt;0,"N/A",IFERROR((G197/60)*M197*2*'Step 1- Hrly Rate Calc'!$D$14,"")))</f>
        <v/>
      </c>
      <c r="O197" s="77" t="str">
        <f t="shared" si="7"/>
        <v/>
      </c>
      <c r="P197" s="77" t="str">
        <f t="shared" si="8"/>
        <v/>
      </c>
    </row>
    <row r="198" spans="2:16" s="61" customFormat="1" ht="34" customHeight="1" x14ac:dyDescent="0.2">
      <c r="B198" s="77" t="str">
        <f>IF('Step 2- Activity Inventory'!B201="","",'Step 2- Activity Inventory'!B201)</f>
        <v/>
      </c>
      <c r="C198" s="77" t="str">
        <f>IF('Step 2- Activity Inventory'!C201="","",'Step 2- Activity Inventory'!C201)</f>
        <v/>
      </c>
      <c r="D198" s="88" t="str">
        <f>IF('Step 2- Activity Inventory'!E201="","",'Step 2- Activity Inventory'!E201)</f>
        <v/>
      </c>
      <c r="E198" s="88" t="str">
        <f>IF('Step 2- Activity Inventory'!F201="","",'Step 2- Activity Inventory'!F201)</f>
        <v/>
      </c>
      <c r="F198" s="88" t="str">
        <f>IF(E198="Genius","N/A",IF('Step 2- Activity Inventory'!G201="","",'Step 2- Activity Inventory'!G201))</f>
        <v/>
      </c>
      <c r="G198" s="89" t="str">
        <f>IF('Step 2- Activity Inventory'!D201="","",'Step 2- Activity Inventory'!D201)</f>
        <v/>
      </c>
      <c r="H198" s="90"/>
      <c r="I198" s="24"/>
      <c r="J198" s="24"/>
      <c r="K198" s="91"/>
      <c r="L198" s="92" t="str">
        <f>IF(OR('Step 2- Activity Inventory'!O201=6,AND('Step 2- Activity Inventory'!O201=5,E198="Genius")),'Step 1- Hrly Rate Calc'!$D$18,"")</f>
        <v/>
      </c>
      <c r="M198" s="93" t="str">
        <f t="shared" si="6"/>
        <v/>
      </c>
      <c r="N198" s="93" t="str">
        <f>IF(L198="","",IF(IFERROR((G198/60)*M198*2*'Step 1- Hrly Rate Calc'!$D$14,"")&lt;0,"N/A",IFERROR((G198/60)*M198*2*'Step 1- Hrly Rate Calc'!$D$14,"")))</f>
        <v/>
      </c>
      <c r="O198" s="77" t="str">
        <f t="shared" si="7"/>
        <v/>
      </c>
      <c r="P198" s="77" t="str">
        <f t="shared" si="8"/>
        <v/>
      </c>
    </row>
    <row r="199" spans="2:16" s="61" customFormat="1" ht="34" customHeight="1" x14ac:dyDescent="0.2">
      <c r="B199" s="77" t="str">
        <f>IF('Step 2- Activity Inventory'!B202="","",'Step 2- Activity Inventory'!B202)</f>
        <v/>
      </c>
      <c r="C199" s="77" t="str">
        <f>IF('Step 2- Activity Inventory'!C202="","",'Step 2- Activity Inventory'!C202)</f>
        <v/>
      </c>
      <c r="D199" s="88" t="str">
        <f>IF('Step 2- Activity Inventory'!E202="","",'Step 2- Activity Inventory'!E202)</f>
        <v/>
      </c>
      <c r="E199" s="88" t="str">
        <f>IF('Step 2- Activity Inventory'!F202="","",'Step 2- Activity Inventory'!F202)</f>
        <v/>
      </c>
      <c r="F199" s="88" t="str">
        <f>IF(E199="Genius","N/A",IF('Step 2- Activity Inventory'!G202="","",'Step 2- Activity Inventory'!G202))</f>
        <v/>
      </c>
      <c r="G199" s="89" t="str">
        <f>IF('Step 2- Activity Inventory'!D202="","",'Step 2- Activity Inventory'!D202)</f>
        <v/>
      </c>
      <c r="H199" s="90"/>
      <c r="I199" s="24"/>
      <c r="J199" s="24"/>
      <c r="K199" s="91"/>
      <c r="L199" s="92" t="str">
        <f>IF(OR('Step 2- Activity Inventory'!O202=6,AND('Step 2- Activity Inventory'!O202=5,E199="Genius")),'Step 1- Hrly Rate Calc'!$D$18,"")</f>
        <v/>
      </c>
      <c r="M199" s="93" t="str">
        <f t="shared" si="6"/>
        <v/>
      </c>
      <c r="N199" s="93" t="str">
        <f>IF(L199="","",IF(IFERROR((G199/60)*M199*2*'Step 1- Hrly Rate Calc'!$D$14,"")&lt;0,"N/A",IFERROR((G199/60)*M199*2*'Step 1- Hrly Rate Calc'!$D$14,"")))</f>
        <v/>
      </c>
      <c r="O199" s="77" t="str">
        <f t="shared" si="7"/>
        <v/>
      </c>
      <c r="P199" s="77" t="str">
        <f t="shared" si="8"/>
        <v/>
      </c>
    </row>
    <row r="200" spans="2:16" s="61" customFormat="1" ht="34" customHeight="1" x14ac:dyDescent="0.2">
      <c r="B200" s="77" t="str">
        <f>IF('Step 2- Activity Inventory'!B203="","",'Step 2- Activity Inventory'!B203)</f>
        <v/>
      </c>
      <c r="C200" s="77" t="str">
        <f>IF('Step 2- Activity Inventory'!C203="","",'Step 2- Activity Inventory'!C203)</f>
        <v/>
      </c>
      <c r="D200" s="88" t="str">
        <f>IF('Step 2- Activity Inventory'!E203="","",'Step 2- Activity Inventory'!E203)</f>
        <v/>
      </c>
      <c r="E200" s="88" t="str">
        <f>IF('Step 2- Activity Inventory'!F203="","",'Step 2- Activity Inventory'!F203)</f>
        <v/>
      </c>
      <c r="F200" s="88" t="str">
        <f>IF(E200="Genius","N/A",IF('Step 2- Activity Inventory'!G203="","",'Step 2- Activity Inventory'!G203))</f>
        <v/>
      </c>
      <c r="G200" s="89" t="str">
        <f>IF('Step 2- Activity Inventory'!D203="","",'Step 2- Activity Inventory'!D203)</f>
        <v/>
      </c>
      <c r="H200" s="90"/>
      <c r="I200" s="24"/>
      <c r="J200" s="24"/>
      <c r="K200" s="91"/>
      <c r="L200" s="92" t="str">
        <f>IF(OR('Step 2- Activity Inventory'!O203=6,AND('Step 2- Activity Inventory'!O203=5,E200="Genius")),'Step 1- Hrly Rate Calc'!$D$18,"")</f>
        <v/>
      </c>
      <c r="M200" s="93" t="str">
        <f t="shared" si="6"/>
        <v/>
      </c>
      <c r="N200" s="93" t="str">
        <f>IF(L200="","",IF(IFERROR((G200/60)*M200*2*'Step 1- Hrly Rate Calc'!$D$14,"")&lt;0,"N/A",IFERROR((G200/60)*M200*2*'Step 1- Hrly Rate Calc'!$D$14,"")))</f>
        <v/>
      </c>
      <c r="O200" s="77" t="str">
        <f t="shared" si="7"/>
        <v/>
      </c>
      <c r="P200" s="77" t="str">
        <f t="shared" si="8"/>
        <v/>
      </c>
    </row>
    <row r="201" spans="2:16" s="61" customFormat="1" ht="34" customHeight="1" x14ac:dyDescent="0.2">
      <c r="B201" s="77" t="str">
        <f>IF('Step 2- Activity Inventory'!B204="","",'Step 2- Activity Inventory'!B204)</f>
        <v/>
      </c>
      <c r="C201" s="77" t="str">
        <f>IF('Step 2- Activity Inventory'!C204="","",'Step 2- Activity Inventory'!C204)</f>
        <v/>
      </c>
      <c r="D201" s="88" t="str">
        <f>IF('Step 2- Activity Inventory'!E204="","",'Step 2- Activity Inventory'!E204)</f>
        <v/>
      </c>
      <c r="E201" s="88" t="str">
        <f>IF('Step 2- Activity Inventory'!F204="","",'Step 2- Activity Inventory'!F204)</f>
        <v/>
      </c>
      <c r="F201" s="88" t="str">
        <f>IF(E201="Genius","N/A",IF('Step 2- Activity Inventory'!G204="","",'Step 2- Activity Inventory'!G204))</f>
        <v/>
      </c>
      <c r="G201" s="89" t="str">
        <f>IF('Step 2- Activity Inventory'!D204="","",'Step 2- Activity Inventory'!D204)</f>
        <v/>
      </c>
      <c r="H201" s="90"/>
      <c r="I201" s="24"/>
      <c r="J201" s="24"/>
      <c r="K201" s="91"/>
      <c r="L201" s="92" t="str">
        <f>IF(OR('Step 2- Activity Inventory'!O204=6,AND('Step 2- Activity Inventory'!O204=5,E201="Genius")),'Step 1- Hrly Rate Calc'!$D$18,"")</f>
        <v/>
      </c>
      <c r="M201" s="93" t="str">
        <f t="shared" ref="M201:M264" si="9">IF(B201="","",IFERROR(K201-L201,""))</f>
        <v/>
      </c>
      <c r="N201" s="93" t="str">
        <f>IF(L201="","",IF(IFERROR((G201/60)*M201*2*'Step 1- Hrly Rate Calc'!$D$14,"")&lt;0,"N/A",IFERROR((G201/60)*M201*2*'Step 1- Hrly Rate Calc'!$D$14,"")))</f>
        <v/>
      </c>
      <c r="O201" s="77" t="str">
        <f t="shared" ref="O201:O264" si="10">IF(E201="Genius","KEEP DOING",IF(L201="","",IF(K201&gt;(L201*0.75),"KEEP DOING","STOP DOING")))</f>
        <v/>
      </c>
      <c r="P201" s="77" t="str">
        <f t="shared" ref="P201:P264" si="11">IF(L201="","",IF(O201="STOP DOING",IF(J201="Yes","Ready to Stop Doing","Not Ready"),"N/A"))</f>
        <v/>
      </c>
    </row>
    <row r="202" spans="2:16" s="61" customFormat="1" ht="34" customHeight="1" x14ac:dyDescent="0.2">
      <c r="B202" s="77" t="str">
        <f>IF('Step 2- Activity Inventory'!B205="","",'Step 2- Activity Inventory'!B205)</f>
        <v/>
      </c>
      <c r="C202" s="77" t="str">
        <f>IF('Step 2- Activity Inventory'!C205="","",'Step 2- Activity Inventory'!C205)</f>
        <v/>
      </c>
      <c r="D202" s="88" t="str">
        <f>IF('Step 2- Activity Inventory'!E205="","",'Step 2- Activity Inventory'!E205)</f>
        <v/>
      </c>
      <c r="E202" s="88" t="str">
        <f>IF('Step 2- Activity Inventory'!F205="","",'Step 2- Activity Inventory'!F205)</f>
        <v/>
      </c>
      <c r="F202" s="88" t="str">
        <f>IF(E202="Genius","N/A",IF('Step 2- Activity Inventory'!G205="","",'Step 2- Activity Inventory'!G205))</f>
        <v/>
      </c>
      <c r="G202" s="89" t="str">
        <f>IF('Step 2- Activity Inventory'!D205="","",'Step 2- Activity Inventory'!D205)</f>
        <v/>
      </c>
      <c r="H202" s="90"/>
      <c r="I202" s="24"/>
      <c r="J202" s="24"/>
      <c r="K202" s="91"/>
      <c r="L202" s="92" t="str">
        <f>IF(OR('Step 2- Activity Inventory'!O205=6,AND('Step 2- Activity Inventory'!O205=5,E202="Genius")),'Step 1- Hrly Rate Calc'!$D$18,"")</f>
        <v/>
      </c>
      <c r="M202" s="93" t="str">
        <f t="shared" si="9"/>
        <v/>
      </c>
      <c r="N202" s="93" t="str">
        <f>IF(L202="","",IF(IFERROR((G202/60)*M202*2*'Step 1- Hrly Rate Calc'!$D$14,"")&lt;0,"N/A",IFERROR((G202/60)*M202*2*'Step 1- Hrly Rate Calc'!$D$14,"")))</f>
        <v/>
      </c>
      <c r="O202" s="77" t="str">
        <f t="shared" si="10"/>
        <v/>
      </c>
      <c r="P202" s="77" t="str">
        <f t="shared" si="11"/>
        <v/>
      </c>
    </row>
    <row r="203" spans="2:16" s="61" customFormat="1" ht="34" customHeight="1" x14ac:dyDescent="0.2">
      <c r="B203" s="77" t="str">
        <f>IF('Step 2- Activity Inventory'!B206="","",'Step 2- Activity Inventory'!B206)</f>
        <v/>
      </c>
      <c r="C203" s="77" t="str">
        <f>IF('Step 2- Activity Inventory'!C206="","",'Step 2- Activity Inventory'!C206)</f>
        <v/>
      </c>
      <c r="D203" s="88" t="str">
        <f>IF('Step 2- Activity Inventory'!E206="","",'Step 2- Activity Inventory'!E206)</f>
        <v/>
      </c>
      <c r="E203" s="88" t="str">
        <f>IF('Step 2- Activity Inventory'!F206="","",'Step 2- Activity Inventory'!F206)</f>
        <v/>
      </c>
      <c r="F203" s="88" t="str">
        <f>IF(E203="Genius","N/A",IF('Step 2- Activity Inventory'!G206="","",'Step 2- Activity Inventory'!G206))</f>
        <v/>
      </c>
      <c r="G203" s="89" t="str">
        <f>IF('Step 2- Activity Inventory'!D206="","",'Step 2- Activity Inventory'!D206)</f>
        <v/>
      </c>
      <c r="H203" s="90"/>
      <c r="I203" s="24"/>
      <c r="J203" s="24"/>
      <c r="K203" s="91"/>
      <c r="L203" s="92" t="str">
        <f>IF(OR('Step 2- Activity Inventory'!O206=6,AND('Step 2- Activity Inventory'!O206=5,E203="Genius")),'Step 1- Hrly Rate Calc'!$D$18,"")</f>
        <v/>
      </c>
      <c r="M203" s="93" t="str">
        <f t="shared" si="9"/>
        <v/>
      </c>
      <c r="N203" s="93" t="str">
        <f>IF(L203="","",IF(IFERROR((G203/60)*M203*2*'Step 1- Hrly Rate Calc'!$D$14,"")&lt;0,"N/A",IFERROR((G203/60)*M203*2*'Step 1- Hrly Rate Calc'!$D$14,"")))</f>
        <v/>
      </c>
      <c r="O203" s="77" t="str">
        <f t="shared" si="10"/>
        <v/>
      </c>
      <c r="P203" s="77" t="str">
        <f t="shared" si="11"/>
        <v/>
      </c>
    </row>
    <row r="204" spans="2:16" s="61" customFormat="1" ht="34" customHeight="1" x14ac:dyDescent="0.2">
      <c r="B204" s="77" t="str">
        <f>IF('Step 2- Activity Inventory'!B207="","",'Step 2- Activity Inventory'!B207)</f>
        <v/>
      </c>
      <c r="C204" s="77" t="str">
        <f>IF('Step 2- Activity Inventory'!C207="","",'Step 2- Activity Inventory'!C207)</f>
        <v/>
      </c>
      <c r="D204" s="88" t="str">
        <f>IF('Step 2- Activity Inventory'!E207="","",'Step 2- Activity Inventory'!E207)</f>
        <v/>
      </c>
      <c r="E204" s="88" t="str">
        <f>IF('Step 2- Activity Inventory'!F207="","",'Step 2- Activity Inventory'!F207)</f>
        <v/>
      </c>
      <c r="F204" s="88" t="str">
        <f>IF(E204="Genius","N/A",IF('Step 2- Activity Inventory'!G207="","",'Step 2- Activity Inventory'!G207))</f>
        <v/>
      </c>
      <c r="G204" s="89" t="str">
        <f>IF('Step 2- Activity Inventory'!D207="","",'Step 2- Activity Inventory'!D207)</f>
        <v/>
      </c>
      <c r="H204" s="90"/>
      <c r="I204" s="24"/>
      <c r="J204" s="24"/>
      <c r="K204" s="91"/>
      <c r="L204" s="92" t="str">
        <f>IF(OR('Step 2- Activity Inventory'!O207=6,AND('Step 2- Activity Inventory'!O207=5,E204="Genius")),'Step 1- Hrly Rate Calc'!$D$18,"")</f>
        <v/>
      </c>
      <c r="M204" s="93" t="str">
        <f t="shared" si="9"/>
        <v/>
      </c>
      <c r="N204" s="93" t="str">
        <f>IF(L204="","",IF(IFERROR((G204/60)*M204*2*'Step 1- Hrly Rate Calc'!$D$14,"")&lt;0,"N/A",IFERROR((G204/60)*M204*2*'Step 1- Hrly Rate Calc'!$D$14,"")))</f>
        <v/>
      </c>
      <c r="O204" s="77" t="str">
        <f t="shared" si="10"/>
        <v/>
      </c>
      <c r="P204" s="77" t="str">
        <f t="shared" si="11"/>
        <v/>
      </c>
    </row>
    <row r="205" spans="2:16" s="61" customFormat="1" ht="34" customHeight="1" x14ac:dyDescent="0.2">
      <c r="B205" s="77" t="str">
        <f>IF('Step 2- Activity Inventory'!B208="","",'Step 2- Activity Inventory'!B208)</f>
        <v/>
      </c>
      <c r="C205" s="77" t="str">
        <f>IF('Step 2- Activity Inventory'!C208="","",'Step 2- Activity Inventory'!C208)</f>
        <v/>
      </c>
      <c r="D205" s="88" t="str">
        <f>IF('Step 2- Activity Inventory'!E208="","",'Step 2- Activity Inventory'!E208)</f>
        <v/>
      </c>
      <c r="E205" s="88" t="str">
        <f>IF('Step 2- Activity Inventory'!F208="","",'Step 2- Activity Inventory'!F208)</f>
        <v/>
      </c>
      <c r="F205" s="88" t="str">
        <f>IF(E205="Genius","N/A",IF('Step 2- Activity Inventory'!G208="","",'Step 2- Activity Inventory'!G208))</f>
        <v/>
      </c>
      <c r="G205" s="89" t="str">
        <f>IF('Step 2- Activity Inventory'!D208="","",'Step 2- Activity Inventory'!D208)</f>
        <v/>
      </c>
      <c r="H205" s="90"/>
      <c r="I205" s="24"/>
      <c r="J205" s="24"/>
      <c r="K205" s="91"/>
      <c r="L205" s="92" t="str">
        <f>IF(OR('Step 2- Activity Inventory'!O208=6,AND('Step 2- Activity Inventory'!O208=5,E205="Genius")),'Step 1- Hrly Rate Calc'!$D$18,"")</f>
        <v/>
      </c>
      <c r="M205" s="93" t="str">
        <f t="shared" si="9"/>
        <v/>
      </c>
      <c r="N205" s="93" t="str">
        <f>IF(L205="","",IF(IFERROR((G205/60)*M205*2*'Step 1- Hrly Rate Calc'!$D$14,"")&lt;0,"N/A",IFERROR((G205/60)*M205*2*'Step 1- Hrly Rate Calc'!$D$14,"")))</f>
        <v/>
      </c>
      <c r="O205" s="77" t="str">
        <f t="shared" si="10"/>
        <v/>
      </c>
      <c r="P205" s="77" t="str">
        <f t="shared" si="11"/>
        <v/>
      </c>
    </row>
    <row r="206" spans="2:16" s="61" customFormat="1" ht="34" customHeight="1" x14ac:dyDescent="0.2">
      <c r="B206" s="77" t="str">
        <f>IF('Step 2- Activity Inventory'!B209="","",'Step 2- Activity Inventory'!B209)</f>
        <v/>
      </c>
      <c r="C206" s="77" t="str">
        <f>IF('Step 2- Activity Inventory'!C209="","",'Step 2- Activity Inventory'!C209)</f>
        <v/>
      </c>
      <c r="D206" s="88" t="str">
        <f>IF('Step 2- Activity Inventory'!E209="","",'Step 2- Activity Inventory'!E209)</f>
        <v/>
      </c>
      <c r="E206" s="88" t="str">
        <f>IF('Step 2- Activity Inventory'!F209="","",'Step 2- Activity Inventory'!F209)</f>
        <v/>
      </c>
      <c r="F206" s="88" t="str">
        <f>IF(E206="Genius","N/A",IF('Step 2- Activity Inventory'!G209="","",'Step 2- Activity Inventory'!G209))</f>
        <v/>
      </c>
      <c r="G206" s="89" t="str">
        <f>IF('Step 2- Activity Inventory'!D209="","",'Step 2- Activity Inventory'!D209)</f>
        <v/>
      </c>
      <c r="H206" s="90"/>
      <c r="I206" s="24"/>
      <c r="J206" s="24"/>
      <c r="K206" s="91"/>
      <c r="L206" s="92" t="str">
        <f>IF(OR('Step 2- Activity Inventory'!O209=6,AND('Step 2- Activity Inventory'!O209=5,E206="Genius")),'Step 1- Hrly Rate Calc'!$D$18,"")</f>
        <v/>
      </c>
      <c r="M206" s="93" t="str">
        <f t="shared" si="9"/>
        <v/>
      </c>
      <c r="N206" s="93" t="str">
        <f>IF(L206="","",IF(IFERROR((G206/60)*M206*2*'Step 1- Hrly Rate Calc'!$D$14,"")&lt;0,"N/A",IFERROR((G206/60)*M206*2*'Step 1- Hrly Rate Calc'!$D$14,"")))</f>
        <v/>
      </c>
      <c r="O206" s="77" t="str">
        <f t="shared" si="10"/>
        <v/>
      </c>
      <c r="P206" s="77" t="str">
        <f t="shared" si="11"/>
        <v/>
      </c>
    </row>
    <row r="207" spans="2:16" s="61" customFormat="1" ht="34" customHeight="1" x14ac:dyDescent="0.2">
      <c r="B207" s="77" t="str">
        <f>IF('Step 2- Activity Inventory'!B210="","",'Step 2- Activity Inventory'!B210)</f>
        <v/>
      </c>
      <c r="C207" s="77" t="str">
        <f>IF('Step 2- Activity Inventory'!C210="","",'Step 2- Activity Inventory'!C210)</f>
        <v/>
      </c>
      <c r="D207" s="88" t="str">
        <f>IF('Step 2- Activity Inventory'!E210="","",'Step 2- Activity Inventory'!E210)</f>
        <v/>
      </c>
      <c r="E207" s="88" t="str">
        <f>IF('Step 2- Activity Inventory'!F210="","",'Step 2- Activity Inventory'!F210)</f>
        <v/>
      </c>
      <c r="F207" s="88" t="str">
        <f>IF(E207="Genius","N/A",IF('Step 2- Activity Inventory'!G210="","",'Step 2- Activity Inventory'!G210))</f>
        <v/>
      </c>
      <c r="G207" s="89" t="str">
        <f>IF('Step 2- Activity Inventory'!D210="","",'Step 2- Activity Inventory'!D210)</f>
        <v/>
      </c>
      <c r="H207" s="90"/>
      <c r="I207" s="24"/>
      <c r="J207" s="24"/>
      <c r="K207" s="91"/>
      <c r="L207" s="92" t="str">
        <f>IF(OR('Step 2- Activity Inventory'!O210=6,AND('Step 2- Activity Inventory'!O210=5,E207="Genius")),'Step 1- Hrly Rate Calc'!$D$18,"")</f>
        <v/>
      </c>
      <c r="M207" s="93" t="str">
        <f t="shared" si="9"/>
        <v/>
      </c>
      <c r="N207" s="93" t="str">
        <f>IF(L207="","",IF(IFERROR((G207/60)*M207*2*'Step 1- Hrly Rate Calc'!$D$14,"")&lt;0,"N/A",IFERROR((G207/60)*M207*2*'Step 1- Hrly Rate Calc'!$D$14,"")))</f>
        <v/>
      </c>
      <c r="O207" s="77" t="str">
        <f t="shared" si="10"/>
        <v/>
      </c>
      <c r="P207" s="77" t="str">
        <f t="shared" si="11"/>
        <v/>
      </c>
    </row>
    <row r="208" spans="2:16" s="61" customFormat="1" ht="34" customHeight="1" x14ac:dyDescent="0.2">
      <c r="B208" s="77" t="str">
        <f>IF('Step 2- Activity Inventory'!B211="","",'Step 2- Activity Inventory'!B211)</f>
        <v/>
      </c>
      <c r="C208" s="77" t="str">
        <f>IF('Step 2- Activity Inventory'!C211="","",'Step 2- Activity Inventory'!C211)</f>
        <v/>
      </c>
      <c r="D208" s="88" t="str">
        <f>IF('Step 2- Activity Inventory'!E211="","",'Step 2- Activity Inventory'!E211)</f>
        <v/>
      </c>
      <c r="E208" s="88" t="str">
        <f>IF('Step 2- Activity Inventory'!F211="","",'Step 2- Activity Inventory'!F211)</f>
        <v/>
      </c>
      <c r="F208" s="88" t="str">
        <f>IF(E208="Genius","N/A",IF('Step 2- Activity Inventory'!G211="","",'Step 2- Activity Inventory'!G211))</f>
        <v/>
      </c>
      <c r="G208" s="89" t="str">
        <f>IF('Step 2- Activity Inventory'!D211="","",'Step 2- Activity Inventory'!D211)</f>
        <v/>
      </c>
      <c r="H208" s="90"/>
      <c r="I208" s="24"/>
      <c r="J208" s="24"/>
      <c r="K208" s="91"/>
      <c r="L208" s="92" t="str">
        <f>IF(OR('Step 2- Activity Inventory'!O211=6,AND('Step 2- Activity Inventory'!O211=5,E208="Genius")),'Step 1- Hrly Rate Calc'!$D$18,"")</f>
        <v/>
      </c>
      <c r="M208" s="93" t="str">
        <f t="shared" si="9"/>
        <v/>
      </c>
      <c r="N208" s="93" t="str">
        <f>IF(L208="","",IF(IFERROR((G208/60)*M208*2*'Step 1- Hrly Rate Calc'!$D$14,"")&lt;0,"N/A",IFERROR((G208/60)*M208*2*'Step 1- Hrly Rate Calc'!$D$14,"")))</f>
        <v/>
      </c>
      <c r="O208" s="77" t="str">
        <f t="shared" si="10"/>
        <v/>
      </c>
      <c r="P208" s="77" t="str">
        <f t="shared" si="11"/>
        <v/>
      </c>
    </row>
    <row r="209" spans="2:16" s="61" customFormat="1" ht="34" customHeight="1" x14ac:dyDescent="0.2">
      <c r="B209" s="77" t="str">
        <f>IF('Step 2- Activity Inventory'!B212="","",'Step 2- Activity Inventory'!B212)</f>
        <v/>
      </c>
      <c r="C209" s="77" t="str">
        <f>IF('Step 2- Activity Inventory'!C212="","",'Step 2- Activity Inventory'!C212)</f>
        <v/>
      </c>
      <c r="D209" s="88" t="str">
        <f>IF('Step 2- Activity Inventory'!E212="","",'Step 2- Activity Inventory'!E212)</f>
        <v/>
      </c>
      <c r="E209" s="88" t="str">
        <f>IF('Step 2- Activity Inventory'!F212="","",'Step 2- Activity Inventory'!F212)</f>
        <v/>
      </c>
      <c r="F209" s="88" t="str">
        <f>IF(E209="Genius","N/A",IF('Step 2- Activity Inventory'!G212="","",'Step 2- Activity Inventory'!G212))</f>
        <v/>
      </c>
      <c r="G209" s="89" t="str">
        <f>IF('Step 2- Activity Inventory'!D212="","",'Step 2- Activity Inventory'!D212)</f>
        <v/>
      </c>
      <c r="H209" s="90"/>
      <c r="I209" s="24"/>
      <c r="J209" s="24"/>
      <c r="K209" s="91"/>
      <c r="L209" s="92" t="str">
        <f>IF(OR('Step 2- Activity Inventory'!O212=6,AND('Step 2- Activity Inventory'!O212=5,E209="Genius")),'Step 1- Hrly Rate Calc'!$D$18,"")</f>
        <v/>
      </c>
      <c r="M209" s="93" t="str">
        <f t="shared" si="9"/>
        <v/>
      </c>
      <c r="N209" s="93" t="str">
        <f>IF(L209="","",IF(IFERROR((G209/60)*M209*2*'Step 1- Hrly Rate Calc'!$D$14,"")&lt;0,"N/A",IFERROR((G209/60)*M209*2*'Step 1- Hrly Rate Calc'!$D$14,"")))</f>
        <v/>
      </c>
      <c r="O209" s="77" t="str">
        <f t="shared" si="10"/>
        <v/>
      </c>
      <c r="P209" s="77" t="str">
        <f t="shared" si="11"/>
        <v/>
      </c>
    </row>
    <row r="210" spans="2:16" s="61" customFormat="1" ht="34" customHeight="1" x14ac:dyDescent="0.2">
      <c r="B210" s="77" t="str">
        <f>IF('Step 2- Activity Inventory'!B213="","",'Step 2- Activity Inventory'!B213)</f>
        <v/>
      </c>
      <c r="C210" s="77" t="str">
        <f>IF('Step 2- Activity Inventory'!C213="","",'Step 2- Activity Inventory'!C213)</f>
        <v/>
      </c>
      <c r="D210" s="88" t="str">
        <f>IF('Step 2- Activity Inventory'!E213="","",'Step 2- Activity Inventory'!E213)</f>
        <v/>
      </c>
      <c r="E210" s="88" t="str">
        <f>IF('Step 2- Activity Inventory'!F213="","",'Step 2- Activity Inventory'!F213)</f>
        <v/>
      </c>
      <c r="F210" s="88" t="str">
        <f>IF(E210="Genius","N/A",IF('Step 2- Activity Inventory'!G213="","",'Step 2- Activity Inventory'!G213))</f>
        <v/>
      </c>
      <c r="G210" s="89" t="str">
        <f>IF('Step 2- Activity Inventory'!D213="","",'Step 2- Activity Inventory'!D213)</f>
        <v/>
      </c>
      <c r="H210" s="90"/>
      <c r="I210" s="24"/>
      <c r="J210" s="24"/>
      <c r="K210" s="91"/>
      <c r="L210" s="92" t="str">
        <f>IF(OR('Step 2- Activity Inventory'!O213=6,AND('Step 2- Activity Inventory'!O213=5,E210="Genius")),'Step 1- Hrly Rate Calc'!$D$18,"")</f>
        <v/>
      </c>
      <c r="M210" s="93" t="str">
        <f t="shared" si="9"/>
        <v/>
      </c>
      <c r="N210" s="93" t="str">
        <f>IF(L210="","",IF(IFERROR((G210/60)*M210*2*'Step 1- Hrly Rate Calc'!$D$14,"")&lt;0,"N/A",IFERROR((G210/60)*M210*2*'Step 1- Hrly Rate Calc'!$D$14,"")))</f>
        <v/>
      </c>
      <c r="O210" s="77" t="str">
        <f t="shared" si="10"/>
        <v/>
      </c>
      <c r="P210" s="77" t="str">
        <f t="shared" si="11"/>
        <v/>
      </c>
    </row>
    <row r="211" spans="2:16" s="61" customFormat="1" ht="34" customHeight="1" x14ac:dyDescent="0.2">
      <c r="B211" s="77" t="str">
        <f>IF('Step 2- Activity Inventory'!B214="","",'Step 2- Activity Inventory'!B214)</f>
        <v/>
      </c>
      <c r="C211" s="77" t="str">
        <f>IF('Step 2- Activity Inventory'!C214="","",'Step 2- Activity Inventory'!C214)</f>
        <v/>
      </c>
      <c r="D211" s="88" t="str">
        <f>IF('Step 2- Activity Inventory'!E214="","",'Step 2- Activity Inventory'!E214)</f>
        <v/>
      </c>
      <c r="E211" s="88" t="str">
        <f>IF('Step 2- Activity Inventory'!F214="","",'Step 2- Activity Inventory'!F214)</f>
        <v/>
      </c>
      <c r="F211" s="88" t="str">
        <f>IF(E211="Genius","N/A",IF('Step 2- Activity Inventory'!G214="","",'Step 2- Activity Inventory'!G214))</f>
        <v/>
      </c>
      <c r="G211" s="89" t="str">
        <f>IF('Step 2- Activity Inventory'!D214="","",'Step 2- Activity Inventory'!D214)</f>
        <v/>
      </c>
      <c r="H211" s="90"/>
      <c r="I211" s="24"/>
      <c r="J211" s="24"/>
      <c r="K211" s="91"/>
      <c r="L211" s="92" t="str">
        <f>IF(OR('Step 2- Activity Inventory'!O214=6,AND('Step 2- Activity Inventory'!O214=5,E211="Genius")),'Step 1- Hrly Rate Calc'!$D$18,"")</f>
        <v/>
      </c>
      <c r="M211" s="93" t="str">
        <f t="shared" si="9"/>
        <v/>
      </c>
      <c r="N211" s="93" t="str">
        <f>IF(L211="","",IF(IFERROR((G211/60)*M211*2*'Step 1- Hrly Rate Calc'!$D$14,"")&lt;0,"N/A",IFERROR((G211/60)*M211*2*'Step 1- Hrly Rate Calc'!$D$14,"")))</f>
        <v/>
      </c>
      <c r="O211" s="77" t="str">
        <f t="shared" si="10"/>
        <v/>
      </c>
      <c r="P211" s="77" t="str">
        <f t="shared" si="11"/>
        <v/>
      </c>
    </row>
    <row r="212" spans="2:16" s="61" customFormat="1" ht="34" customHeight="1" x14ac:dyDescent="0.2">
      <c r="B212" s="77" t="str">
        <f>IF('Step 2- Activity Inventory'!B215="","",'Step 2- Activity Inventory'!B215)</f>
        <v/>
      </c>
      <c r="C212" s="77" t="str">
        <f>IF('Step 2- Activity Inventory'!C215="","",'Step 2- Activity Inventory'!C215)</f>
        <v/>
      </c>
      <c r="D212" s="88" t="str">
        <f>IF('Step 2- Activity Inventory'!E215="","",'Step 2- Activity Inventory'!E215)</f>
        <v/>
      </c>
      <c r="E212" s="88" t="str">
        <f>IF('Step 2- Activity Inventory'!F215="","",'Step 2- Activity Inventory'!F215)</f>
        <v/>
      </c>
      <c r="F212" s="88" t="str">
        <f>IF(E212="Genius","N/A",IF('Step 2- Activity Inventory'!G215="","",'Step 2- Activity Inventory'!G215))</f>
        <v/>
      </c>
      <c r="G212" s="89" t="str">
        <f>IF('Step 2- Activity Inventory'!D215="","",'Step 2- Activity Inventory'!D215)</f>
        <v/>
      </c>
      <c r="H212" s="90"/>
      <c r="I212" s="24"/>
      <c r="J212" s="24"/>
      <c r="K212" s="91"/>
      <c r="L212" s="92" t="str">
        <f>IF(OR('Step 2- Activity Inventory'!O215=6,AND('Step 2- Activity Inventory'!O215=5,E212="Genius")),'Step 1- Hrly Rate Calc'!$D$18,"")</f>
        <v/>
      </c>
      <c r="M212" s="93" t="str">
        <f t="shared" si="9"/>
        <v/>
      </c>
      <c r="N212" s="93" t="str">
        <f>IF(L212="","",IF(IFERROR((G212/60)*M212*2*'Step 1- Hrly Rate Calc'!$D$14,"")&lt;0,"N/A",IFERROR((G212/60)*M212*2*'Step 1- Hrly Rate Calc'!$D$14,"")))</f>
        <v/>
      </c>
      <c r="O212" s="77" t="str">
        <f t="shared" si="10"/>
        <v/>
      </c>
      <c r="P212" s="77" t="str">
        <f t="shared" si="11"/>
        <v/>
      </c>
    </row>
    <row r="213" spans="2:16" s="61" customFormat="1" ht="34" customHeight="1" x14ac:dyDescent="0.2">
      <c r="B213" s="77" t="str">
        <f>IF('Step 2- Activity Inventory'!B216="","",'Step 2- Activity Inventory'!B216)</f>
        <v/>
      </c>
      <c r="C213" s="77" t="str">
        <f>IF('Step 2- Activity Inventory'!C216="","",'Step 2- Activity Inventory'!C216)</f>
        <v/>
      </c>
      <c r="D213" s="88" t="str">
        <f>IF('Step 2- Activity Inventory'!E216="","",'Step 2- Activity Inventory'!E216)</f>
        <v/>
      </c>
      <c r="E213" s="88" t="str">
        <f>IF('Step 2- Activity Inventory'!F216="","",'Step 2- Activity Inventory'!F216)</f>
        <v/>
      </c>
      <c r="F213" s="88" t="str">
        <f>IF(E213="Genius","N/A",IF('Step 2- Activity Inventory'!G216="","",'Step 2- Activity Inventory'!G216))</f>
        <v/>
      </c>
      <c r="G213" s="89" t="str">
        <f>IF('Step 2- Activity Inventory'!D216="","",'Step 2- Activity Inventory'!D216)</f>
        <v/>
      </c>
      <c r="H213" s="90"/>
      <c r="I213" s="24"/>
      <c r="J213" s="24"/>
      <c r="K213" s="91"/>
      <c r="L213" s="92" t="str">
        <f>IF(OR('Step 2- Activity Inventory'!O216=6,AND('Step 2- Activity Inventory'!O216=5,E213="Genius")),'Step 1- Hrly Rate Calc'!$D$18,"")</f>
        <v/>
      </c>
      <c r="M213" s="93" t="str">
        <f t="shared" si="9"/>
        <v/>
      </c>
      <c r="N213" s="93" t="str">
        <f>IF(L213="","",IF(IFERROR((G213/60)*M213*2*'Step 1- Hrly Rate Calc'!$D$14,"")&lt;0,"N/A",IFERROR((G213/60)*M213*2*'Step 1- Hrly Rate Calc'!$D$14,"")))</f>
        <v/>
      </c>
      <c r="O213" s="77" t="str">
        <f t="shared" si="10"/>
        <v/>
      </c>
      <c r="P213" s="77" t="str">
        <f t="shared" si="11"/>
        <v/>
      </c>
    </row>
    <row r="214" spans="2:16" s="61" customFormat="1" ht="34" customHeight="1" x14ac:dyDescent="0.2">
      <c r="B214" s="77" t="str">
        <f>IF('Step 2- Activity Inventory'!B217="","",'Step 2- Activity Inventory'!B217)</f>
        <v/>
      </c>
      <c r="C214" s="77" t="str">
        <f>IF('Step 2- Activity Inventory'!C217="","",'Step 2- Activity Inventory'!C217)</f>
        <v/>
      </c>
      <c r="D214" s="88" t="str">
        <f>IF('Step 2- Activity Inventory'!E217="","",'Step 2- Activity Inventory'!E217)</f>
        <v/>
      </c>
      <c r="E214" s="88" t="str">
        <f>IF('Step 2- Activity Inventory'!F217="","",'Step 2- Activity Inventory'!F217)</f>
        <v/>
      </c>
      <c r="F214" s="88" t="str">
        <f>IF(E214="Genius","N/A",IF('Step 2- Activity Inventory'!G217="","",'Step 2- Activity Inventory'!G217))</f>
        <v/>
      </c>
      <c r="G214" s="89" t="str">
        <f>IF('Step 2- Activity Inventory'!D217="","",'Step 2- Activity Inventory'!D217)</f>
        <v/>
      </c>
      <c r="H214" s="90"/>
      <c r="I214" s="24"/>
      <c r="J214" s="24"/>
      <c r="K214" s="91"/>
      <c r="L214" s="92" t="str">
        <f>IF(OR('Step 2- Activity Inventory'!O217=6,AND('Step 2- Activity Inventory'!O217=5,E214="Genius")),'Step 1- Hrly Rate Calc'!$D$18,"")</f>
        <v/>
      </c>
      <c r="M214" s="93" t="str">
        <f t="shared" si="9"/>
        <v/>
      </c>
      <c r="N214" s="93" t="str">
        <f>IF(L214="","",IF(IFERROR((G214/60)*M214*2*'Step 1- Hrly Rate Calc'!$D$14,"")&lt;0,"N/A",IFERROR((G214/60)*M214*2*'Step 1- Hrly Rate Calc'!$D$14,"")))</f>
        <v/>
      </c>
      <c r="O214" s="77" t="str">
        <f t="shared" si="10"/>
        <v/>
      </c>
      <c r="P214" s="77" t="str">
        <f t="shared" si="11"/>
        <v/>
      </c>
    </row>
    <row r="215" spans="2:16" s="61" customFormat="1" ht="34" customHeight="1" x14ac:dyDescent="0.2">
      <c r="B215" s="77" t="str">
        <f>IF('Step 2- Activity Inventory'!B218="","",'Step 2- Activity Inventory'!B218)</f>
        <v/>
      </c>
      <c r="C215" s="77" t="str">
        <f>IF('Step 2- Activity Inventory'!C218="","",'Step 2- Activity Inventory'!C218)</f>
        <v/>
      </c>
      <c r="D215" s="88" t="str">
        <f>IF('Step 2- Activity Inventory'!E218="","",'Step 2- Activity Inventory'!E218)</f>
        <v/>
      </c>
      <c r="E215" s="88" t="str">
        <f>IF('Step 2- Activity Inventory'!F218="","",'Step 2- Activity Inventory'!F218)</f>
        <v/>
      </c>
      <c r="F215" s="88" t="str">
        <f>IF(E215="Genius","N/A",IF('Step 2- Activity Inventory'!G218="","",'Step 2- Activity Inventory'!G218))</f>
        <v/>
      </c>
      <c r="G215" s="89" t="str">
        <f>IF('Step 2- Activity Inventory'!D218="","",'Step 2- Activity Inventory'!D218)</f>
        <v/>
      </c>
      <c r="H215" s="90"/>
      <c r="I215" s="24"/>
      <c r="J215" s="24"/>
      <c r="K215" s="91"/>
      <c r="L215" s="92" t="str">
        <f>IF(OR('Step 2- Activity Inventory'!O218=6,AND('Step 2- Activity Inventory'!O218=5,E215="Genius")),'Step 1- Hrly Rate Calc'!$D$18,"")</f>
        <v/>
      </c>
      <c r="M215" s="93" t="str">
        <f t="shared" si="9"/>
        <v/>
      </c>
      <c r="N215" s="93" t="str">
        <f>IF(L215="","",IF(IFERROR((G215/60)*M215*2*'Step 1- Hrly Rate Calc'!$D$14,"")&lt;0,"N/A",IFERROR((G215/60)*M215*2*'Step 1- Hrly Rate Calc'!$D$14,"")))</f>
        <v/>
      </c>
      <c r="O215" s="77" t="str">
        <f t="shared" si="10"/>
        <v/>
      </c>
      <c r="P215" s="77" t="str">
        <f t="shared" si="11"/>
        <v/>
      </c>
    </row>
    <row r="216" spans="2:16" s="61" customFormat="1" ht="34" customHeight="1" x14ac:dyDescent="0.2">
      <c r="B216" s="77" t="str">
        <f>IF('Step 2- Activity Inventory'!B219="","",'Step 2- Activity Inventory'!B219)</f>
        <v/>
      </c>
      <c r="C216" s="77" t="str">
        <f>IF('Step 2- Activity Inventory'!C219="","",'Step 2- Activity Inventory'!C219)</f>
        <v/>
      </c>
      <c r="D216" s="88" t="str">
        <f>IF('Step 2- Activity Inventory'!E219="","",'Step 2- Activity Inventory'!E219)</f>
        <v/>
      </c>
      <c r="E216" s="88" t="str">
        <f>IF('Step 2- Activity Inventory'!F219="","",'Step 2- Activity Inventory'!F219)</f>
        <v/>
      </c>
      <c r="F216" s="88" t="str">
        <f>IF(E216="Genius","N/A",IF('Step 2- Activity Inventory'!G219="","",'Step 2- Activity Inventory'!G219))</f>
        <v/>
      </c>
      <c r="G216" s="89" t="str">
        <f>IF('Step 2- Activity Inventory'!D219="","",'Step 2- Activity Inventory'!D219)</f>
        <v/>
      </c>
      <c r="H216" s="90"/>
      <c r="I216" s="24"/>
      <c r="J216" s="24"/>
      <c r="K216" s="91"/>
      <c r="L216" s="92" t="str">
        <f>IF(OR('Step 2- Activity Inventory'!O219=6,AND('Step 2- Activity Inventory'!O219=5,E216="Genius")),'Step 1- Hrly Rate Calc'!$D$18,"")</f>
        <v/>
      </c>
      <c r="M216" s="93" t="str">
        <f t="shared" si="9"/>
        <v/>
      </c>
      <c r="N216" s="93" t="str">
        <f>IF(L216="","",IF(IFERROR((G216/60)*M216*2*'Step 1- Hrly Rate Calc'!$D$14,"")&lt;0,"N/A",IFERROR((G216/60)*M216*2*'Step 1- Hrly Rate Calc'!$D$14,"")))</f>
        <v/>
      </c>
      <c r="O216" s="77" t="str">
        <f t="shared" si="10"/>
        <v/>
      </c>
      <c r="P216" s="77" t="str">
        <f t="shared" si="11"/>
        <v/>
      </c>
    </row>
    <row r="217" spans="2:16" s="61" customFormat="1" ht="34" customHeight="1" x14ac:dyDescent="0.2">
      <c r="B217" s="77" t="str">
        <f>IF('Step 2- Activity Inventory'!B220="","",'Step 2- Activity Inventory'!B220)</f>
        <v/>
      </c>
      <c r="C217" s="77" t="str">
        <f>IF('Step 2- Activity Inventory'!C220="","",'Step 2- Activity Inventory'!C220)</f>
        <v/>
      </c>
      <c r="D217" s="88" t="str">
        <f>IF('Step 2- Activity Inventory'!E220="","",'Step 2- Activity Inventory'!E220)</f>
        <v/>
      </c>
      <c r="E217" s="88" t="str">
        <f>IF('Step 2- Activity Inventory'!F220="","",'Step 2- Activity Inventory'!F220)</f>
        <v/>
      </c>
      <c r="F217" s="88" t="str">
        <f>IF(E217="Genius","N/A",IF('Step 2- Activity Inventory'!G220="","",'Step 2- Activity Inventory'!G220))</f>
        <v/>
      </c>
      <c r="G217" s="89" t="str">
        <f>IF('Step 2- Activity Inventory'!D220="","",'Step 2- Activity Inventory'!D220)</f>
        <v/>
      </c>
      <c r="H217" s="90"/>
      <c r="I217" s="24"/>
      <c r="J217" s="24"/>
      <c r="K217" s="91"/>
      <c r="L217" s="92" t="str">
        <f>IF(OR('Step 2- Activity Inventory'!O220=6,AND('Step 2- Activity Inventory'!O220=5,E217="Genius")),'Step 1- Hrly Rate Calc'!$D$18,"")</f>
        <v/>
      </c>
      <c r="M217" s="93" t="str">
        <f t="shared" si="9"/>
        <v/>
      </c>
      <c r="N217" s="93" t="str">
        <f>IF(L217="","",IF(IFERROR((G217/60)*M217*2*'Step 1- Hrly Rate Calc'!$D$14,"")&lt;0,"N/A",IFERROR((G217/60)*M217*2*'Step 1- Hrly Rate Calc'!$D$14,"")))</f>
        <v/>
      </c>
      <c r="O217" s="77" t="str">
        <f t="shared" si="10"/>
        <v/>
      </c>
      <c r="P217" s="77" t="str">
        <f t="shared" si="11"/>
        <v/>
      </c>
    </row>
    <row r="218" spans="2:16" s="61" customFormat="1" ht="34" customHeight="1" x14ac:dyDescent="0.2">
      <c r="B218" s="77" t="str">
        <f>IF('Step 2- Activity Inventory'!B221="","",'Step 2- Activity Inventory'!B221)</f>
        <v/>
      </c>
      <c r="C218" s="77" t="str">
        <f>IF('Step 2- Activity Inventory'!C221="","",'Step 2- Activity Inventory'!C221)</f>
        <v/>
      </c>
      <c r="D218" s="88" t="str">
        <f>IF('Step 2- Activity Inventory'!E221="","",'Step 2- Activity Inventory'!E221)</f>
        <v/>
      </c>
      <c r="E218" s="88" t="str">
        <f>IF('Step 2- Activity Inventory'!F221="","",'Step 2- Activity Inventory'!F221)</f>
        <v/>
      </c>
      <c r="F218" s="88" t="str">
        <f>IF(E218="Genius","N/A",IF('Step 2- Activity Inventory'!G221="","",'Step 2- Activity Inventory'!G221))</f>
        <v/>
      </c>
      <c r="G218" s="89" t="str">
        <f>IF('Step 2- Activity Inventory'!D221="","",'Step 2- Activity Inventory'!D221)</f>
        <v/>
      </c>
      <c r="H218" s="90"/>
      <c r="I218" s="24"/>
      <c r="J218" s="24"/>
      <c r="K218" s="91"/>
      <c r="L218" s="92" t="str">
        <f>IF(OR('Step 2- Activity Inventory'!O221=6,AND('Step 2- Activity Inventory'!O221=5,E218="Genius")),'Step 1- Hrly Rate Calc'!$D$18,"")</f>
        <v/>
      </c>
      <c r="M218" s="93" t="str">
        <f t="shared" si="9"/>
        <v/>
      </c>
      <c r="N218" s="93" t="str">
        <f>IF(L218="","",IF(IFERROR((G218/60)*M218*2*'Step 1- Hrly Rate Calc'!$D$14,"")&lt;0,"N/A",IFERROR((G218/60)*M218*2*'Step 1- Hrly Rate Calc'!$D$14,"")))</f>
        <v/>
      </c>
      <c r="O218" s="77" t="str">
        <f t="shared" si="10"/>
        <v/>
      </c>
      <c r="P218" s="77" t="str">
        <f t="shared" si="11"/>
        <v/>
      </c>
    </row>
    <row r="219" spans="2:16" s="61" customFormat="1" ht="34" customHeight="1" x14ac:dyDescent="0.2">
      <c r="B219" s="77" t="str">
        <f>IF('Step 2- Activity Inventory'!B222="","",'Step 2- Activity Inventory'!B222)</f>
        <v/>
      </c>
      <c r="C219" s="77" t="str">
        <f>IF('Step 2- Activity Inventory'!C222="","",'Step 2- Activity Inventory'!C222)</f>
        <v/>
      </c>
      <c r="D219" s="88" t="str">
        <f>IF('Step 2- Activity Inventory'!E222="","",'Step 2- Activity Inventory'!E222)</f>
        <v/>
      </c>
      <c r="E219" s="88" t="str">
        <f>IF('Step 2- Activity Inventory'!F222="","",'Step 2- Activity Inventory'!F222)</f>
        <v/>
      </c>
      <c r="F219" s="88" t="str">
        <f>IF(E219="Genius","N/A",IF('Step 2- Activity Inventory'!G222="","",'Step 2- Activity Inventory'!G222))</f>
        <v/>
      </c>
      <c r="G219" s="89" t="str">
        <f>IF('Step 2- Activity Inventory'!D222="","",'Step 2- Activity Inventory'!D222)</f>
        <v/>
      </c>
      <c r="H219" s="90"/>
      <c r="I219" s="24"/>
      <c r="J219" s="24"/>
      <c r="K219" s="91"/>
      <c r="L219" s="92" t="str">
        <f>IF(OR('Step 2- Activity Inventory'!O222=6,AND('Step 2- Activity Inventory'!O222=5,E219="Genius")),'Step 1- Hrly Rate Calc'!$D$18,"")</f>
        <v/>
      </c>
      <c r="M219" s="93" t="str">
        <f t="shared" si="9"/>
        <v/>
      </c>
      <c r="N219" s="93" t="str">
        <f>IF(L219="","",IF(IFERROR((G219/60)*M219*2*'Step 1- Hrly Rate Calc'!$D$14,"")&lt;0,"N/A",IFERROR((G219/60)*M219*2*'Step 1- Hrly Rate Calc'!$D$14,"")))</f>
        <v/>
      </c>
      <c r="O219" s="77" t="str">
        <f t="shared" si="10"/>
        <v/>
      </c>
      <c r="P219" s="77" t="str">
        <f t="shared" si="11"/>
        <v/>
      </c>
    </row>
    <row r="220" spans="2:16" s="61" customFormat="1" ht="34" customHeight="1" x14ac:dyDescent="0.2">
      <c r="B220" s="77" t="str">
        <f>IF('Step 2- Activity Inventory'!B223="","",'Step 2- Activity Inventory'!B223)</f>
        <v/>
      </c>
      <c r="C220" s="77" t="str">
        <f>IF('Step 2- Activity Inventory'!C223="","",'Step 2- Activity Inventory'!C223)</f>
        <v/>
      </c>
      <c r="D220" s="88" t="str">
        <f>IF('Step 2- Activity Inventory'!E223="","",'Step 2- Activity Inventory'!E223)</f>
        <v/>
      </c>
      <c r="E220" s="88" t="str">
        <f>IF('Step 2- Activity Inventory'!F223="","",'Step 2- Activity Inventory'!F223)</f>
        <v/>
      </c>
      <c r="F220" s="88" t="str">
        <f>IF(E220="Genius","N/A",IF('Step 2- Activity Inventory'!G223="","",'Step 2- Activity Inventory'!G223))</f>
        <v/>
      </c>
      <c r="G220" s="89" t="str">
        <f>IF('Step 2- Activity Inventory'!D223="","",'Step 2- Activity Inventory'!D223)</f>
        <v/>
      </c>
      <c r="H220" s="90"/>
      <c r="I220" s="24"/>
      <c r="J220" s="24"/>
      <c r="K220" s="91"/>
      <c r="L220" s="92" t="str">
        <f>IF(OR('Step 2- Activity Inventory'!O223=6,AND('Step 2- Activity Inventory'!O223=5,E220="Genius")),'Step 1- Hrly Rate Calc'!$D$18,"")</f>
        <v/>
      </c>
      <c r="M220" s="93" t="str">
        <f t="shared" si="9"/>
        <v/>
      </c>
      <c r="N220" s="93" t="str">
        <f>IF(L220="","",IF(IFERROR((G220/60)*M220*2*'Step 1- Hrly Rate Calc'!$D$14,"")&lt;0,"N/A",IFERROR((G220/60)*M220*2*'Step 1- Hrly Rate Calc'!$D$14,"")))</f>
        <v/>
      </c>
      <c r="O220" s="77" t="str">
        <f t="shared" si="10"/>
        <v/>
      </c>
      <c r="P220" s="77" t="str">
        <f t="shared" si="11"/>
        <v/>
      </c>
    </row>
    <row r="221" spans="2:16" s="61" customFormat="1" ht="34" customHeight="1" x14ac:dyDescent="0.2">
      <c r="B221" s="77" t="str">
        <f>IF('Step 2- Activity Inventory'!B224="","",'Step 2- Activity Inventory'!B224)</f>
        <v/>
      </c>
      <c r="C221" s="77" t="str">
        <f>IF('Step 2- Activity Inventory'!C224="","",'Step 2- Activity Inventory'!C224)</f>
        <v/>
      </c>
      <c r="D221" s="88" t="str">
        <f>IF('Step 2- Activity Inventory'!E224="","",'Step 2- Activity Inventory'!E224)</f>
        <v/>
      </c>
      <c r="E221" s="88" t="str">
        <f>IF('Step 2- Activity Inventory'!F224="","",'Step 2- Activity Inventory'!F224)</f>
        <v/>
      </c>
      <c r="F221" s="88" t="str">
        <f>IF(E221="Genius","N/A",IF('Step 2- Activity Inventory'!G224="","",'Step 2- Activity Inventory'!G224))</f>
        <v/>
      </c>
      <c r="G221" s="89" t="str">
        <f>IF('Step 2- Activity Inventory'!D224="","",'Step 2- Activity Inventory'!D224)</f>
        <v/>
      </c>
      <c r="H221" s="90"/>
      <c r="I221" s="24"/>
      <c r="J221" s="24"/>
      <c r="K221" s="91"/>
      <c r="L221" s="92" t="str">
        <f>IF(OR('Step 2- Activity Inventory'!O224=6,AND('Step 2- Activity Inventory'!O224=5,E221="Genius")),'Step 1- Hrly Rate Calc'!$D$18,"")</f>
        <v/>
      </c>
      <c r="M221" s="93" t="str">
        <f t="shared" si="9"/>
        <v/>
      </c>
      <c r="N221" s="93" t="str">
        <f>IF(L221="","",IF(IFERROR((G221/60)*M221*2*'Step 1- Hrly Rate Calc'!$D$14,"")&lt;0,"N/A",IFERROR((G221/60)*M221*2*'Step 1- Hrly Rate Calc'!$D$14,"")))</f>
        <v/>
      </c>
      <c r="O221" s="77" t="str">
        <f t="shared" si="10"/>
        <v/>
      </c>
      <c r="P221" s="77" t="str">
        <f t="shared" si="11"/>
        <v/>
      </c>
    </row>
    <row r="222" spans="2:16" s="61" customFormat="1" ht="34" customHeight="1" x14ac:dyDescent="0.2">
      <c r="B222" s="77" t="str">
        <f>IF('Step 2- Activity Inventory'!B225="","",'Step 2- Activity Inventory'!B225)</f>
        <v/>
      </c>
      <c r="C222" s="77" t="str">
        <f>IF('Step 2- Activity Inventory'!C225="","",'Step 2- Activity Inventory'!C225)</f>
        <v/>
      </c>
      <c r="D222" s="88" t="str">
        <f>IF('Step 2- Activity Inventory'!E225="","",'Step 2- Activity Inventory'!E225)</f>
        <v/>
      </c>
      <c r="E222" s="88" t="str">
        <f>IF('Step 2- Activity Inventory'!F225="","",'Step 2- Activity Inventory'!F225)</f>
        <v/>
      </c>
      <c r="F222" s="88" t="str">
        <f>IF(E222="Genius","N/A",IF('Step 2- Activity Inventory'!G225="","",'Step 2- Activity Inventory'!G225))</f>
        <v/>
      </c>
      <c r="G222" s="89" t="str">
        <f>IF('Step 2- Activity Inventory'!D225="","",'Step 2- Activity Inventory'!D225)</f>
        <v/>
      </c>
      <c r="H222" s="90"/>
      <c r="I222" s="24"/>
      <c r="J222" s="24"/>
      <c r="K222" s="91"/>
      <c r="L222" s="92" t="str">
        <f>IF(OR('Step 2- Activity Inventory'!O225=6,AND('Step 2- Activity Inventory'!O225=5,E222="Genius")),'Step 1- Hrly Rate Calc'!$D$18,"")</f>
        <v/>
      </c>
      <c r="M222" s="93" t="str">
        <f t="shared" si="9"/>
        <v/>
      </c>
      <c r="N222" s="93" t="str">
        <f>IF(L222="","",IF(IFERROR((G222/60)*M222*2*'Step 1- Hrly Rate Calc'!$D$14,"")&lt;0,"N/A",IFERROR((G222/60)*M222*2*'Step 1- Hrly Rate Calc'!$D$14,"")))</f>
        <v/>
      </c>
      <c r="O222" s="77" t="str">
        <f t="shared" si="10"/>
        <v/>
      </c>
      <c r="P222" s="77" t="str">
        <f t="shared" si="11"/>
        <v/>
      </c>
    </row>
    <row r="223" spans="2:16" s="61" customFormat="1" ht="34" customHeight="1" x14ac:dyDescent="0.2">
      <c r="B223" s="77" t="str">
        <f>IF('Step 2- Activity Inventory'!B226="","",'Step 2- Activity Inventory'!B226)</f>
        <v/>
      </c>
      <c r="C223" s="77" t="str">
        <f>IF('Step 2- Activity Inventory'!C226="","",'Step 2- Activity Inventory'!C226)</f>
        <v/>
      </c>
      <c r="D223" s="88" t="str">
        <f>IF('Step 2- Activity Inventory'!E226="","",'Step 2- Activity Inventory'!E226)</f>
        <v/>
      </c>
      <c r="E223" s="88" t="str">
        <f>IF('Step 2- Activity Inventory'!F226="","",'Step 2- Activity Inventory'!F226)</f>
        <v/>
      </c>
      <c r="F223" s="88" t="str">
        <f>IF(E223="Genius","N/A",IF('Step 2- Activity Inventory'!G226="","",'Step 2- Activity Inventory'!G226))</f>
        <v/>
      </c>
      <c r="G223" s="89" t="str">
        <f>IF('Step 2- Activity Inventory'!D226="","",'Step 2- Activity Inventory'!D226)</f>
        <v/>
      </c>
      <c r="H223" s="90"/>
      <c r="I223" s="24"/>
      <c r="J223" s="24"/>
      <c r="K223" s="91"/>
      <c r="L223" s="92" t="str">
        <f>IF(OR('Step 2- Activity Inventory'!O226=6,AND('Step 2- Activity Inventory'!O226=5,E223="Genius")),'Step 1- Hrly Rate Calc'!$D$18,"")</f>
        <v/>
      </c>
      <c r="M223" s="93" t="str">
        <f t="shared" si="9"/>
        <v/>
      </c>
      <c r="N223" s="93" t="str">
        <f>IF(L223="","",IF(IFERROR((G223/60)*M223*2*'Step 1- Hrly Rate Calc'!$D$14,"")&lt;0,"N/A",IFERROR((G223/60)*M223*2*'Step 1- Hrly Rate Calc'!$D$14,"")))</f>
        <v/>
      </c>
      <c r="O223" s="77" t="str">
        <f t="shared" si="10"/>
        <v/>
      </c>
      <c r="P223" s="77" t="str">
        <f t="shared" si="11"/>
        <v/>
      </c>
    </row>
    <row r="224" spans="2:16" s="61" customFormat="1" ht="34" customHeight="1" x14ac:dyDescent="0.2">
      <c r="B224" s="77" t="str">
        <f>IF('Step 2- Activity Inventory'!B227="","",'Step 2- Activity Inventory'!B227)</f>
        <v/>
      </c>
      <c r="C224" s="77" t="str">
        <f>IF('Step 2- Activity Inventory'!C227="","",'Step 2- Activity Inventory'!C227)</f>
        <v/>
      </c>
      <c r="D224" s="88" t="str">
        <f>IF('Step 2- Activity Inventory'!E227="","",'Step 2- Activity Inventory'!E227)</f>
        <v/>
      </c>
      <c r="E224" s="88" t="str">
        <f>IF('Step 2- Activity Inventory'!F227="","",'Step 2- Activity Inventory'!F227)</f>
        <v/>
      </c>
      <c r="F224" s="88" t="str">
        <f>IF(E224="Genius","N/A",IF('Step 2- Activity Inventory'!G227="","",'Step 2- Activity Inventory'!G227))</f>
        <v/>
      </c>
      <c r="G224" s="89" t="str">
        <f>IF('Step 2- Activity Inventory'!D227="","",'Step 2- Activity Inventory'!D227)</f>
        <v/>
      </c>
      <c r="H224" s="90"/>
      <c r="I224" s="24"/>
      <c r="J224" s="24"/>
      <c r="K224" s="91"/>
      <c r="L224" s="92" t="str">
        <f>IF(OR('Step 2- Activity Inventory'!O227=6,AND('Step 2- Activity Inventory'!O227=5,E224="Genius")),'Step 1- Hrly Rate Calc'!$D$18,"")</f>
        <v/>
      </c>
      <c r="M224" s="93" t="str">
        <f t="shared" si="9"/>
        <v/>
      </c>
      <c r="N224" s="93" t="str">
        <f>IF(L224="","",IF(IFERROR((G224/60)*M224*2*'Step 1- Hrly Rate Calc'!$D$14,"")&lt;0,"N/A",IFERROR((G224/60)*M224*2*'Step 1- Hrly Rate Calc'!$D$14,"")))</f>
        <v/>
      </c>
      <c r="O224" s="77" t="str">
        <f t="shared" si="10"/>
        <v/>
      </c>
      <c r="P224" s="77" t="str">
        <f t="shared" si="11"/>
        <v/>
      </c>
    </row>
    <row r="225" spans="2:16" s="61" customFormat="1" ht="34" customHeight="1" x14ac:dyDescent="0.2">
      <c r="B225" s="77" t="str">
        <f>IF('Step 2- Activity Inventory'!B228="","",'Step 2- Activity Inventory'!B228)</f>
        <v/>
      </c>
      <c r="C225" s="77" t="str">
        <f>IF('Step 2- Activity Inventory'!C228="","",'Step 2- Activity Inventory'!C228)</f>
        <v/>
      </c>
      <c r="D225" s="88" t="str">
        <f>IF('Step 2- Activity Inventory'!E228="","",'Step 2- Activity Inventory'!E228)</f>
        <v/>
      </c>
      <c r="E225" s="88" t="str">
        <f>IF('Step 2- Activity Inventory'!F228="","",'Step 2- Activity Inventory'!F228)</f>
        <v/>
      </c>
      <c r="F225" s="88" t="str">
        <f>IF(E225="Genius","N/A",IF('Step 2- Activity Inventory'!G228="","",'Step 2- Activity Inventory'!G228))</f>
        <v/>
      </c>
      <c r="G225" s="89" t="str">
        <f>IF('Step 2- Activity Inventory'!D228="","",'Step 2- Activity Inventory'!D228)</f>
        <v/>
      </c>
      <c r="H225" s="90"/>
      <c r="I225" s="24"/>
      <c r="J225" s="24"/>
      <c r="K225" s="91"/>
      <c r="L225" s="92" t="str">
        <f>IF(OR('Step 2- Activity Inventory'!O228=6,AND('Step 2- Activity Inventory'!O228=5,E225="Genius")),'Step 1- Hrly Rate Calc'!$D$18,"")</f>
        <v/>
      </c>
      <c r="M225" s="93" t="str">
        <f t="shared" si="9"/>
        <v/>
      </c>
      <c r="N225" s="93" t="str">
        <f>IF(L225="","",IF(IFERROR((G225/60)*M225*2*'Step 1- Hrly Rate Calc'!$D$14,"")&lt;0,"N/A",IFERROR((G225/60)*M225*2*'Step 1- Hrly Rate Calc'!$D$14,"")))</f>
        <v/>
      </c>
      <c r="O225" s="77" t="str">
        <f t="shared" si="10"/>
        <v/>
      </c>
      <c r="P225" s="77" t="str">
        <f t="shared" si="11"/>
        <v/>
      </c>
    </row>
    <row r="226" spans="2:16" s="61" customFormat="1" ht="34" customHeight="1" x14ac:dyDescent="0.2">
      <c r="B226" s="77" t="str">
        <f>IF('Step 2- Activity Inventory'!B229="","",'Step 2- Activity Inventory'!B229)</f>
        <v/>
      </c>
      <c r="C226" s="77" t="str">
        <f>IF('Step 2- Activity Inventory'!C229="","",'Step 2- Activity Inventory'!C229)</f>
        <v/>
      </c>
      <c r="D226" s="88" t="str">
        <f>IF('Step 2- Activity Inventory'!E229="","",'Step 2- Activity Inventory'!E229)</f>
        <v/>
      </c>
      <c r="E226" s="88" t="str">
        <f>IF('Step 2- Activity Inventory'!F229="","",'Step 2- Activity Inventory'!F229)</f>
        <v/>
      </c>
      <c r="F226" s="88" t="str">
        <f>IF(E226="Genius","N/A",IF('Step 2- Activity Inventory'!G229="","",'Step 2- Activity Inventory'!G229))</f>
        <v/>
      </c>
      <c r="G226" s="89" t="str">
        <f>IF('Step 2- Activity Inventory'!D229="","",'Step 2- Activity Inventory'!D229)</f>
        <v/>
      </c>
      <c r="H226" s="90"/>
      <c r="I226" s="24"/>
      <c r="J226" s="24"/>
      <c r="K226" s="91"/>
      <c r="L226" s="92" t="str">
        <f>IF(OR('Step 2- Activity Inventory'!O229=6,AND('Step 2- Activity Inventory'!O229=5,E226="Genius")),'Step 1- Hrly Rate Calc'!$D$18,"")</f>
        <v/>
      </c>
      <c r="M226" s="93" t="str">
        <f t="shared" si="9"/>
        <v/>
      </c>
      <c r="N226" s="93" t="str">
        <f>IF(L226="","",IF(IFERROR((G226/60)*M226*2*'Step 1- Hrly Rate Calc'!$D$14,"")&lt;0,"N/A",IFERROR((G226/60)*M226*2*'Step 1- Hrly Rate Calc'!$D$14,"")))</f>
        <v/>
      </c>
      <c r="O226" s="77" t="str">
        <f t="shared" si="10"/>
        <v/>
      </c>
      <c r="P226" s="77" t="str">
        <f t="shared" si="11"/>
        <v/>
      </c>
    </row>
    <row r="227" spans="2:16" s="61" customFormat="1" ht="34" customHeight="1" x14ac:dyDescent="0.2">
      <c r="B227" s="77" t="str">
        <f>IF('Step 2- Activity Inventory'!B230="","",'Step 2- Activity Inventory'!B230)</f>
        <v/>
      </c>
      <c r="C227" s="77" t="str">
        <f>IF('Step 2- Activity Inventory'!C230="","",'Step 2- Activity Inventory'!C230)</f>
        <v/>
      </c>
      <c r="D227" s="88" t="str">
        <f>IF('Step 2- Activity Inventory'!E230="","",'Step 2- Activity Inventory'!E230)</f>
        <v/>
      </c>
      <c r="E227" s="88" t="str">
        <f>IF('Step 2- Activity Inventory'!F230="","",'Step 2- Activity Inventory'!F230)</f>
        <v/>
      </c>
      <c r="F227" s="88" t="str">
        <f>IF(E227="Genius","N/A",IF('Step 2- Activity Inventory'!G230="","",'Step 2- Activity Inventory'!G230))</f>
        <v/>
      </c>
      <c r="G227" s="89" t="str">
        <f>IF('Step 2- Activity Inventory'!D230="","",'Step 2- Activity Inventory'!D230)</f>
        <v/>
      </c>
      <c r="H227" s="90"/>
      <c r="I227" s="24"/>
      <c r="J227" s="24"/>
      <c r="K227" s="91"/>
      <c r="L227" s="92" t="str">
        <f>IF(OR('Step 2- Activity Inventory'!O230=6,AND('Step 2- Activity Inventory'!O230=5,E227="Genius")),'Step 1- Hrly Rate Calc'!$D$18,"")</f>
        <v/>
      </c>
      <c r="M227" s="93" t="str">
        <f t="shared" si="9"/>
        <v/>
      </c>
      <c r="N227" s="93" t="str">
        <f>IF(L227="","",IF(IFERROR((G227/60)*M227*2*'Step 1- Hrly Rate Calc'!$D$14,"")&lt;0,"N/A",IFERROR((G227/60)*M227*2*'Step 1- Hrly Rate Calc'!$D$14,"")))</f>
        <v/>
      </c>
      <c r="O227" s="77" t="str">
        <f t="shared" si="10"/>
        <v/>
      </c>
      <c r="P227" s="77" t="str">
        <f t="shared" si="11"/>
        <v/>
      </c>
    </row>
    <row r="228" spans="2:16" s="61" customFormat="1" ht="34" customHeight="1" x14ac:dyDescent="0.2">
      <c r="B228" s="77" t="str">
        <f>IF('Step 2- Activity Inventory'!B231="","",'Step 2- Activity Inventory'!B231)</f>
        <v/>
      </c>
      <c r="C228" s="77" t="str">
        <f>IF('Step 2- Activity Inventory'!C231="","",'Step 2- Activity Inventory'!C231)</f>
        <v/>
      </c>
      <c r="D228" s="88" t="str">
        <f>IF('Step 2- Activity Inventory'!E231="","",'Step 2- Activity Inventory'!E231)</f>
        <v/>
      </c>
      <c r="E228" s="88" t="str">
        <f>IF('Step 2- Activity Inventory'!F231="","",'Step 2- Activity Inventory'!F231)</f>
        <v/>
      </c>
      <c r="F228" s="88" t="str">
        <f>IF(E228="Genius","N/A",IF('Step 2- Activity Inventory'!G231="","",'Step 2- Activity Inventory'!G231))</f>
        <v/>
      </c>
      <c r="G228" s="89" t="str">
        <f>IF('Step 2- Activity Inventory'!D231="","",'Step 2- Activity Inventory'!D231)</f>
        <v/>
      </c>
      <c r="H228" s="90"/>
      <c r="I228" s="24"/>
      <c r="J228" s="24"/>
      <c r="K228" s="91"/>
      <c r="L228" s="92" t="str">
        <f>IF(OR('Step 2- Activity Inventory'!O231=6,AND('Step 2- Activity Inventory'!O231=5,E228="Genius")),'Step 1- Hrly Rate Calc'!$D$18,"")</f>
        <v/>
      </c>
      <c r="M228" s="93" t="str">
        <f t="shared" si="9"/>
        <v/>
      </c>
      <c r="N228" s="93" t="str">
        <f>IF(L228="","",IF(IFERROR((G228/60)*M228*2*'Step 1- Hrly Rate Calc'!$D$14,"")&lt;0,"N/A",IFERROR((G228/60)*M228*2*'Step 1- Hrly Rate Calc'!$D$14,"")))</f>
        <v/>
      </c>
      <c r="O228" s="77" t="str">
        <f t="shared" si="10"/>
        <v/>
      </c>
      <c r="P228" s="77" t="str">
        <f t="shared" si="11"/>
        <v/>
      </c>
    </row>
    <row r="229" spans="2:16" s="61" customFormat="1" ht="34" customHeight="1" x14ac:dyDescent="0.2">
      <c r="B229" s="77" t="str">
        <f>IF('Step 2- Activity Inventory'!B232="","",'Step 2- Activity Inventory'!B232)</f>
        <v/>
      </c>
      <c r="C229" s="77" t="str">
        <f>IF('Step 2- Activity Inventory'!C232="","",'Step 2- Activity Inventory'!C232)</f>
        <v/>
      </c>
      <c r="D229" s="88" t="str">
        <f>IF('Step 2- Activity Inventory'!E232="","",'Step 2- Activity Inventory'!E232)</f>
        <v/>
      </c>
      <c r="E229" s="88" t="str">
        <f>IF('Step 2- Activity Inventory'!F232="","",'Step 2- Activity Inventory'!F232)</f>
        <v/>
      </c>
      <c r="F229" s="88" t="str">
        <f>IF(E229="Genius","N/A",IF('Step 2- Activity Inventory'!G232="","",'Step 2- Activity Inventory'!G232))</f>
        <v/>
      </c>
      <c r="G229" s="89" t="str">
        <f>IF('Step 2- Activity Inventory'!D232="","",'Step 2- Activity Inventory'!D232)</f>
        <v/>
      </c>
      <c r="H229" s="90"/>
      <c r="I229" s="24"/>
      <c r="J229" s="24"/>
      <c r="K229" s="91"/>
      <c r="L229" s="92" t="str">
        <f>IF(OR('Step 2- Activity Inventory'!O232=6,AND('Step 2- Activity Inventory'!O232=5,E229="Genius")),'Step 1- Hrly Rate Calc'!$D$18,"")</f>
        <v/>
      </c>
      <c r="M229" s="93" t="str">
        <f t="shared" si="9"/>
        <v/>
      </c>
      <c r="N229" s="93" t="str">
        <f>IF(L229="","",IF(IFERROR((G229/60)*M229*2*'Step 1- Hrly Rate Calc'!$D$14,"")&lt;0,"N/A",IFERROR((G229/60)*M229*2*'Step 1- Hrly Rate Calc'!$D$14,"")))</f>
        <v/>
      </c>
      <c r="O229" s="77" t="str">
        <f t="shared" si="10"/>
        <v/>
      </c>
      <c r="P229" s="77" t="str">
        <f t="shared" si="11"/>
        <v/>
      </c>
    </row>
    <row r="230" spans="2:16" s="61" customFormat="1" ht="34" customHeight="1" x14ac:dyDescent="0.2">
      <c r="B230" s="77" t="str">
        <f>IF('Step 2- Activity Inventory'!B233="","",'Step 2- Activity Inventory'!B233)</f>
        <v/>
      </c>
      <c r="C230" s="77" t="str">
        <f>IF('Step 2- Activity Inventory'!C233="","",'Step 2- Activity Inventory'!C233)</f>
        <v/>
      </c>
      <c r="D230" s="88" t="str">
        <f>IF('Step 2- Activity Inventory'!E233="","",'Step 2- Activity Inventory'!E233)</f>
        <v/>
      </c>
      <c r="E230" s="88" t="str">
        <f>IF('Step 2- Activity Inventory'!F233="","",'Step 2- Activity Inventory'!F233)</f>
        <v/>
      </c>
      <c r="F230" s="88" t="str">
        <f>IF(E230="Genius","N/A",IF('Step 2- Activity Inventory'!G233="","",'Step 2- Activity Inventory'!G233))</f>
        <v/>
      </c>
      <c r="G230" s="89" t="str">
        <f>IF('Step 2- Activity Inventory'!D233="","",'Step 2- Activity Inventory'!D233)</f>
        <v/>
      </c>
      <c r="H230" s="90"/>
      <c r="I230" s="24"/>
      <c r="J230" s="24"/>
      <c r="K230" s="91"/>
      <c r="L230" s="92" t="str">
        <f>IF(OR('Step 2- Activity Inventory'!O233=6,AND('Step 2- Activity Inventory'!O233=5,E230="Genius")),'Step 1- Hrly Rate Calc'!$D$18,"")</f>
        <v/>
      </c>
      <c r="M230" s="93" t="str">
        <f t="shared" si="9"/>
        <v/>
      </c>
      <c r="N230" s="93" t="str">
        <f>IF(L230="","",IF(IFERROR((G230/60)*M230*2*'Step 1- Hrly Rate Calc'!$D$14,"")&lt;0,"N/A",IFERROR((G230/60)*M230*2*'Step 1- Hrly Rate Calc'!$D$14,"")))</f>
        <v/>
      </c>
      <c r="O230" s="77" t="str">
        <f t="shared" si="10"/>
        <v/>
      </c>
      <c r="P230" s="77" t="str">
        <f t="shared" si="11"/>
        <v/>
      </c>
    </row>
    <row r="231" spans="2:16" s="61" customFormat="1" ht="34" customHeight="1" x14ac:dyDescent="0.2">
      <c r="B231" s="77" t="str">
        <f>IF('Step 2- Activity Inventory'!B234="","",'Step 2- Activity Inventory'!B234)</f>
        <v/>
      </c>
      <c r="C231" s="77" t="str">
        <f>IF('Step 2- Activity Inventory'!C234="","",'Step 2- Activity Inventory'!C234)</f>
        <v/>
      </c>
      <c r="D231" s="88" t="str">
        <f>IF('Step 2- Activity Inventory'!E234="","",'Step 2- Activity Inventory'!E234)</f>
        <v/>
      </c>
      <c r="E231" s="88" t="str">
        <f>IF('Step 2- Activity Inventory'!F234="","",'Step 2- Activity Inventory'!F234)</f>
        <v/>
      </c>
      <c r="F231" s="88" t="str">
        <f>IF(E231="Genius","N/A",IF('Step 2- Activity Inventory'!G234="","",'Step 2- Activity Inventory'!G234))</f>
        <v/>
      </c>
      <c r="G231" s="89" t="str">
        <f>IF('Step 2- Activity Inventory'!D234="","",'Step 2- Activity Inventory'!D234)</f>
        <v/>
      </c>
      <c r="H231" s="90"/>
      <c r="I231" s="24"/>
      <c r="J231" s="24"/>
      <c r="K231" s="91"/>
      <c r="L231" s="92" t="str">
        <f>IF(OR('Step 2- Activity Inventory'!O234=6,AND('Step 2- Activity Inventory'!O234=5,E231="Genius")),'Step 1- Hrly Rate Calc'!$D$18,"")</f>
        <v/>
      </c>
      <c r="M231" s="93" t="str">
        <f t="shared" si="9"/>
        <v/>
      </c>
      <c r="N231" s="93" t="str">
        <f>IF(L231="","",IF(IFERROR((G231/60)*M231*2*'Step 1- Hrly Rate Calc'!$D$14,"")&lt;0,"N/A",IFERROR((G231/60)*M231*2*'Step 1- Hrly Rate Calc'!$D$14,"")))</f>
        <v/>
      </c>
      <c r="O231" s="77" t="str">
        <f t="shared" si="10"/>
        <v/>
      </c>
      <c r="P231" s="77" t="str">
        <f t="shared" si="11"/>
        <v/>
      </c>
    </row>
    <row r="232" spans="2:16" s="61" customFormat="1" ht="34" customHeight="1" x14ac:dyDescent="0.2">
      <c r="B232" s="77" t="str">
        <f>IF('Step 2- Activity Inventory'!B235="","",'Step 2- Activity Inventory'!B235)</f>
        <v/>
      </c>
      <c r="C232" s="77" t="str">
        <f>IF('Step 2- Activity Inventory'!C235="","",'Step 2- Activity Inventory'!C235)</f>
        <v/>
      </c>
      <c r="D232" s="88" t="str">
        <f>IF('Step 2- Activity Inventory'!E235="","",'Step 2- Activity Inventory'!E235)</f>
        <v/>
      </c>
      <c r="E232" s="88" t="str">
        <f>IF('Step 2- Activity Inventory'!F235="","",'Step 2- Activity Inventory'!F235)</f>
        <v/>
      </c>
      <c r="F232" s="88" t="str">
        <f>IF(E232="Genius","N/A",IF('Step 2- Activity Inventory'!G235="","",'Step 2- Activity Inventory'!G235))</f>
        <v/>
      </c>
      <c r="G232" s="89" t="str">
        <f>IF('Step 2- Activity Inventory'!D235="","",'Step 2- Activity Inventory'!D235)</f>
        <v/>
      </c>
      <c r="H232" s="90"/>
      <c r="I232" s="24"/>
      <c r="J232" s="24"/>
      <c r="K232" s="91"/>
      <c r="L232" s="92" t="str">
        <f>IF(OR('Step 2- Activity Inventory'!O235=6,AND('Step 2- Activity Inventory'!O235=5,E232="Genius")),'Step 1- Hrly Rate Calc'!$D$18,"")</f>
        <v/>
      </c>
      <c r="M232" s="93" t="str">
        <f t="shared" si="9"/>
        <v/>
      </c>
      <c r="N232" s="93" t="str">
        <f>IF(L232="","",IF(IFERROR((G232/60)*M232*2*'Step 1- Hrly Rate Calc'!$D$14,"")&lt;0,"N/A",IFERROR((G232/60)*M232*2*'Step 1- Hrly Rate Calc'!$D$14,"")))</f>
        <v/>
      </c>
      <c r="O232" s="77" t="str">
        <f t="shared" si="10"/>
        <v/>
      </c>
      <c r="P232" s="77" t="str">
        <f t="shared" si="11"/>
        <v/>
      </c>
    </row>
    <row r="233" spans="2:16" s="61" customFormat="1" ht="34" customHeight="1" x14ac:dyDescent="0.2">
      <c r="B233" s="77" t="str">
        <f>IF('Step 2- Activity Inventory'!B236="","",'Step 2- Activity Inventory'!B236)</f>
        <v/>
      </c>
      <c r="C233" s="77" t="str">
        <f>IF('Step 2- Activity Inventory'!C236="","",'Step 2- Activity Inventory'!C236)</f>
        <v/>
      </c>
      <c r="D233" s="88" t="str">
        <f>IF('Step 2- Activity Inventory'!E236="","",'Step 2- Activity Inventory'!E236)</f>
        <v/>
      </c>
      <c r="E233" s="88" t="str">
        <f>IF('Step 2- Activity Inventory'!F236="","",'Step 2- Activity Inventory'!F236)</f>
        <v/>
      </c>
      <c r="F233" s="88" t="str">
        <f>IF(E233="Genius","N/A",IF('Step 2- Activity Inventory'!G236="","",'Step 2- Activity Inventory'!G236))</f>
        <v/>
      </c>
      <c r="G233" s="89" t="str">
        <f>IF('Step 2- Activity Inventory'!D236="","",'Step 2- Activity Inventory'!D236)</f>
        <v/>
      </c>
      <c r="H233" s="90"/>
      <c r="I233" s="24"/>
      <c r="J233" s="24"/>
      <c r="K233" s="91"/>
      <c r="L233" s="92" t="str">
        <f>IF(OR('Step 2- Activity Inventory'!O236=6,AND('Step 2- Activity Inventory'!O236=5,E233="Genius")),'Step 1- Hrly Rate Calc'!$D$18,"")</f>
        <v/>
      </c>
      <c r="M233" s="93" t="str">
        <f t="shared" si="9"/>
        <v/>
      </c>
      <c r="N233" s="93" t="str">
        <f>IF(L233="","",IF(IFERROR((G233/60)*M233*2*'Step 1- Hrly Rate Calc'!$D$14,"")&lt;0,"N/A",IFERROR((G233/60)*M233*2*'Step 1- Hrly Rate Calc'!$D$14,"")))</f>
        <v/>
      </c>
      <c r="O233" s="77" t="str">
        <f t="shared" si="10"/>
        <v/>
      </c>
      <c r="P233" s="77" t="str">
        <f t="shared" si="11"/>
        <v/>
      </c>
    </row>
    <row r="234" spans="2:16" s="61" customFormat="1" ht="34" customHeight="1" x14ac:dyDescent="0.2">
      <c r="B234" s="77" t="str">
        <f>IF('Step 2- Activity Inventory'!B237="","",'Step 2- Activity Inventory'!B237)</f>
        <v/>
      </c>
      <c r="C234" s="77" t="str">
        <f>IF('Step 2- Activity Inventory'!C237="","",'Step 2- Activity Inventory'!C237)</f>
        <v/>
      </c>
      <c r="D234" s="88" t="str">
        <f>IF('Step 2- Activity Inventory'!E237="","",'Step 2- Activity Inventory'!E237)</f>
        <v/>
      </c>
      <c r="E234" s="88" t="str">
        <f>IF('Step 2- Activity Inventory'!F237="","",'Step 2- Activity Inventory'!F237)</f>
        <v/>
      </c>
      <c r="F234" s="88" t="str">
        <f>IF(E234="Genius","N/A",IF('Step 2- Activity Inventory'!G237="","",'Step 2- Activity Inventory'!G237))</f>
        <v/>
      </c>
      <c r="G234" s="89" t="str">
        <f>IF('Step 2- Activity Inventory'!D237="","",'Step 2- Activity Inventory'!D237)</f>
        <v/>
      </c>
      <c r="H234" s="90"/>
      <c r="I234" s="24"/>
      <c r="J234" s="24"/>
      <c r="K234" s="91"/>
      <c r="L234" s="92" t="str">
        <f>IF(OR('Step 2- Activity Inventory'!O237=6,AND('Step 2- Activity Inventory'!O237=5,E234="Genius")),'Step 1- Hrly Rate Calc'!$D$18,"")</f>
        <v/>
      </c>
      <c r="M234" s="93" t="str">
        <f t="shared" si="9"/>
        <v/>
      </c>
      <c r="N234" s="93" t="str">
        <f>IF(L234="","",IF(IFERROR((G234/60)*M234*2*'Step 1- Hrly Rate Calc'!$D$14,"")&lt;0,"N/A",IFERROR((G234/60)*M234*2*'Step 1- Hrly Rate Calc'!$D$14,"")))</f>
        <v/>
      </c>
      <c r="O234" s="77" t="str">
        <f t="shared" si="10"/>
        <v/>
      </c>
      <c r="P234" s="77" t="str">
        <f t="shared" si="11"/>
        <v/>
      </c>
    </row>
    <row r="235" spans="2:16" s="61" customFormat="1" ht="34" customHeight="1" x14ac:dyDescent="0.2">
      <c r="B235" s="77" t="str">
        <f>IF('Step 2- Activity Inventory'!B238="","",'Step 2- Activity Inventory'!B238)</f>
        <v/>
      </c>
      <c r="C235" s="77" t="str">
        <f>IF('Step 2- Activity Inventory'!C238="","",'Step 2- Activity Inventory'!C238)</f>
        <v/>
      </c>
      <c r="D235" s="88" t="str">
        <f>IF('Step 2- Activity Inventory'!E238="","",'Step 2- Activity Inventory'!E238)</f>
        <v/>
      </c>
      <c r="E235" s="88" t="str">
        <f>IF('Step 2- Activity Inventory'!F238="","",'Step 2- Activity Inventory'!F238)</f>
        <v/>
      </c>
      <c r="F235" s="88" t="str">
        <f>IF(E235="Genius","N/A",IF('Step 2- Activity Inventory'!G238="","",'Step 2- Activity Inventory'!G238))</f>
        <v/>
      </c>
      <c r="G235" s="89" t="str">
        <f>IF('Step 2- Activity Inventory'!D238="","",'Step 2- Activity Inventory'!D238)</f>
        <v/>
      </c>
      <c r="H235" s="90"/>
      <c r="I235" s="24"/>
      <c r="J235" s="24"/>
      <c r="K235" s="91"/>
      <c r="L235" s="92" t="str">
        <f>IF(OR('Step 2- Activity Inventory'!O238=6,AND('Step 2- Activity Inventory'!O238=5,E235="Genius")),'Step 1- Hrly Rate Calc'!$D$18,"")</f>
        <v/>
      </c>
      <c r="M235" s="93" t="str">
        <f t="shared" si="9"/>
        <v/>
      </c>
      <c r="N235" s="93" t="str">
        <f>IF(L235="","",IF(IFERROR((G235/60)*M235*2*'Step 1- Hrly Rate Calc'!$D$14,"")&lt;0,"N/A",IFERROR((G235/60)*M235*2*'Step 1- Hrly Rate Calc'!$D$14,"")))</f>
        <v/>
      </c>
      <c r="O235" s="77" t="str">
        <f t="shared" si="10"/>
        <v/>
      </c>
      <c r="P235" s="77" t="str">
        <f t="shared" si="11"/>
        <v/>
      </c>
    </row>
    <row r="236" spans="2:16" s="61" customFormat="1" ht="34" customHeight="1" x14ac:dyDescent="0.2">
      <c r="B236" s="77" t="str">
        <f>IF('Step 2- Activity Inventory'!B239="","",'Step 2- Activity Inventory'!B239)</f>
        <v/>
      </c>
      <c r="C236" s="77" t="str">
        <f>IF('Step 2- Activity Inventory'!C239="","",'Step 2- Activity Inventory'!C239)</f>
        <v/>
      </c>
      <c r="D236" s="88" t="str">
        <f>IF('Step 2- Activity Inventory'!E239="","",'Step 2- Activity Inventory'!E239)</f>
        <v/>
      </c>
      <c r="E236" s="88" t="str">
        <f>IF('Step 2- Activity Inventory'!F239="","",'Step 2- Activity Inventory'!F239)</f>
        <v/>
      </c>
      <c r="F236" s="88" t="str">
        <f>IF(E236="Genius","N/A",IF('Step 2- Activity Inventory'!G239="","",'Step 2- Activity Inventory'!G239))</f>
        <v/>
      </c>
      <c r="G236" s="89" t="str">
        <f>IF('Step 2- Activity Inventory'!D239="","",'Step 2- Activity Inventory'!D239)</f>
        <v/>
      </c>
      <c r="H236" s="90"/>
      <c r="I236" s="24"/>
      <c r="J236" s="24"/>
      <c r="K236" s="91"/>
      <c r="L236" s="92" t="str">
        <f>IF(OR('Step 2- Activity Inventory'!O239=6,AND('Step 2- Activity Inventory'!O239=5,E236="Genius")),'Step 1- Hrly Rate Calc'!$D$18,"")</f>
        <v/>
      </c>
      <c r="M236" s="93" t="str">
        <f t="shared" si="9"/>
        <v/>
      </c>
      <c r="N236" s="93" t="str">
        <f>IF(L236="","",IF(IFERROR((G236/60)*M236*2*'Step 1- Hrly Rate Calc'!$D$14,"")&lt;0,"N/A",IFERROR((G236/60)*M236*2*'Step 1- Hrly Rate Calc'!$D$14,"")))</f>
        <v/>
      </c>
      <c r="O236" s="77" t="str">
        <f t="shared" si="10"/>
        <v/>
      </c>
      <c r="P236" s="77" t="str">
        <f t="shared" si="11"/>
        <v/>
      </c>
    </row>
    <row r="237" spans="2:16" s="61" customFormat="1" ht="34" customHeight="1" x14ac:dyDescent="0.2">
      <c r="B237" s="77" t="str">
        <f>IF('Step 2- Activity Inventory'!B240="","",'Step 2- Activity Inventory'!B240)</f>
        <v/>
      </c>
      <c r="C237" s="77" t="str">
        <f>IF('Step 2- Activity Inventory'!C240="","",'Step 2- Activity Inventory'!C240)</f>
        <v/>
      </c>
      <c r="D237" s="88" t="str">
        <f>IF('Step 2- Activity Inventory'!E240="","",'Step 2- Activity Inventory'!E240)</f>
        <v/>
      </c>
      <c r="E237" s="88" t="str">
        <f>IF('Step 2- Activity Inventory'!F240="","",'Step 2- Activity Inventory'!F240)</f>
        <v/>
      </c>
      <c r="F237" s="88" t="str">
        <f>IF(E237="Genius","N/A",IF('Step 2- Activity Inventory'!G240="","",'Step 2- Activity Inventory'!G240))</f>
        <v/>
      </c>
      <c r="G237" s="89" t="str">
        <f>IF('Step 2- Activity Inventory'!D240="","",'Step 2- Activity Inventory'!D240)</f>
        <v/>
      </c>
      <c r="H237" s="90"/>
      <c r="I237" s="24"/>
      <c r="J237" s="24"/>
      <c r="K237" s="91"/>
      <c r="L237" s="92" t="str">
        <f>IF(OR('Step 2- Activity Inventory'!O240=6,AND('Step 2- Activity Inventory'!O240=5,E237="Genius")),'Step 1- Hrly Rate Calc'!$D$18,"")</f>
        <v/>
      </c>
      <c r="M237" s="93" t="str">
        <f t="shared" si="9"/>
        <v/>
      </c>
      <c r="N237" s="93" t="str">
        <f>IF(L237="","",IF(IFERROR((G237/60)*M237*2*'Step 1- Hrly Rate Calc'!$D$14,"")&lt;0,"N/A",IFERROR((G237/60)*M237*2*'Step 1- Hrly Rate Calc'!$D$14,"")))</f>
        <v/>
      </c>
      <c r="O237" s="77" t="str">
        <f t="shared" si="10"/>
        <v/>
      </c>
      <c r="P237" s="77" t="str">
        <f t="shared" si="11"/>
        <v/>
      </c>
    </row>
    <row r="238" spans="2:16" s="61" customFormat="1" ht="34" customHeight="1" x14ac:dyDescent="0.2">
      <c r="B238" s="77" t="str">
        <f>IF('Step 2- Activity Inventory'!B241="","",'Step 2- Activity Inventory'!B241)</f>
        <v/>
      </c>
      <c r="C238" s="77" t="str">
        <f>IF('Step 2- Activity Inventory'!C241="","",'Step 2- Activity Inventory'!C241)</f>
        <v/>
      </c>
      <c r="D238" s="88" t="str">
        <f>IF('Step 2- Activity Inventory'!E241="","",'Step 2- Activity Inventory'!E241)</f>
        <v/>
      </c>
      <c r="E238" s="88" t="str">
        <f>IF('Step 2- Activity Inventory'!F241="","",'Step 2- Activity Inventory'!F241)</f>
        <v/>
      </c>
      <c r="F238" s="88" t="str">
        <f>IF(E238="Genius","N/A",IF('Step 2- Activity Inventory'!G241="","",'Step 2- Activity Inventory'!G241))</f>
        <v/>
      </c>
      <c r="G238" s="89" t="str">
        <f>IF('Step 2- Activity Inventory'!D241="","",'Step 2- Activity Inventory'!D241)</f>
        <v/>
      </c>
      <c r="H238" s="90"/>
      <c r="I238" s="24"/>
      <c r="J238" s="24"/>
      <c r="K238" s="91"/>
      <c r="L238" s="92" t="str">
        <f>IF(OR('Step 2- Activity Inventory'!O241=6,AND('Step 2- Activity Inventory'!O241=5,E238="Genius")),'Step 1- Hrly Rate Calc'!$D$18,"")</f>
        <v/>
      </c>
      <c r="M238" s="93" t="str">
        <f t="shared" si="9"/>
        <v/>
      </c>
      <c r="N238" s="93" t="str">
        <f>IF(L238="","",IF(IFERROR((G238/60)*M238*2*'Step 1- Hrly Rate Calc'!$D$14,"")&lt;0,"N/A",IFERROR((G238/60)*M238*2*'Step 1- Hrly Rate Calc'!$D$14,"")))</f>
        <v/>
      </c>
      <c r="O238" s="77" t="str">
        <f t="shared" si="10"/>
        <v/>
      </c>
      <c r="P238" s="77" t="str">
        <f t="shared" si="11"/>
        <v/>
      </c>
    </row>
    <row r="239" spans="2:16" s="61" customFormat="1" ht="34" customHeight="1" x14ac:dyDescent="0.2">
      <c r="B239" s="77" t="str">
        <f>IF('Step 2- Activity Inventory'!B242="","",'Step 2- Activity Inventory'!B242)</f>
        <v/>
      </c>
      <c r="C239" s="77" t="str">
        <f>IF('Step 2- Activity Inventory'!C242="","",'Step 2- Activity Inventory'!C242)</f>
        <v/>
      </c>
      <c r="D239" s="88" t="str">
        <f>IF('Step 2- Activity Inventory'!E242="","",'Step 2- Activity Inventory'!E242)</f>
        <v/>
      </c>
      <c r="E239" s="88" t="str">
        <f>IF('Step 2- Activity Inventory'!F242="","",'Step 2- Activity Inventory'!F242)</f>
        <v/>
      </c>
      <c r="F239" s="88" t="str">
        <f>IF(E239="Genius","N/A",IF('Step 2- Activity Inventory'!G242="","",'Step 2- Activity Inventory'!G242))</f>
        <v/>
      </c>
      <c r="G239" s="89" t="str">
        <f>IF('Step 2- Activity Inventory'!D242="","",'Step 2- Activity Inventory'!D242)</f>
        <v/>
      </c>
      <c r="H239" s="90"/>
      <c r="I239" s="24"/>
      <c r="J239" s="24"/>
      <c r="K239" s="91"/>
      <c r="L239" s="92" t="str">
        <f>IF(OR('Step 2- Activity Inventory'!O242=6,AND('Step 2- Activity Inventory'!O242=5,E239="Genius")),'Step 1- Hrly Rate Calc'!$D$18,"")</f>
        <v/>
      </c>
      <c r="M239" s="93" t="str">
        <f t="shared" si="9"/>
        <v/>
      </c>
      <c r="N239" s="93" t="str">
        <f>IF(L239="","",IF(IFERROR((G239/60)*M239*2*'Step 1- Hrly Rate Calc'!$D$14,"")&lt;0,"N/A",IFERROR((G239/60)*M239*2*'Step 1- Hrly Rate Calc'!$D$14,"")))</f>
        <v/>
      </c>
      <c r="O239" s="77" t="str">
        <f t="shared" si="10"/>
        <v/>
      </c>
      <c r="P239" s="77" t="str">
        <f t="shared" si="11"/>
        <v/>
      </c>
    </row>
    <row r="240" spans="2:16" s="61" customFormat="1" ht="34" customHeight="1" x14ac:dyDescent="0.2">
      <c r="B240" s="77" t="str">
        <f>IF('Step 2- Activity Inventory'!B243="","",'Step 2- Activity Inventory'!B243)</f>
        <v/>
      </c>
      <c r="C240" s="77" t="str">
        <f>IF('Step 2- Activity Inventory'!C243="","",'Step 2- Activity Inventory'!C243)</f>
        <v/>
      </c>
      <c r="D240" s="88" t="str">
        <f>IF('Step 2- Activity Inventory'!E243="","",'Step 2- Activity Inventory'!E243)</f>
        <v/>
      </c>
      <c r="E240" s="88" t="str">
        <f>IF('Step 2- Activity Inventory'!F243="","",'Step 2- Activity Inventory'!F243)</f>
        <v/>
      </c>
      <c r="F240" s="88" t="str">
        <f>IF(E240="Genius","N/A",IF('Step 2- Activity Inventory'!G243="","",'Step 2- Activity Inventory'!G243))</f>
        <v/>
      </c>
      <c r="G240" s="89" t="str">
        <f>IF('Step 2- Activity Inventory'!D243="","",'Step 2- Activity Inventory'!D243)</f>
        <v/>
      </c>
      <c r="H240" s="90"/>
      <c r="I240" s="24"/>
      <c r="J240" s="24"/>
      <c r="K240" s="91"/>
      <c r="L240" s="92" t="str">
        <f>IF(OR('Step 2- Activity Inventory'!O243=6,AND('Step 2- Activity Inventory'!O243=5,E240="Genius")),'Step 1- Hrly Rate Calc'!$D$18,"")</f>
        <v/>
      </c>
      <c r="M240" s="93" t="str">
        <f t="shared" si="9"/>
        <v/>
      </c>
      <c r="N240" s="93" t="str">
        <f>IF(L240="","",IF(IFERROR((G240/60)*M240*2*'Step 1- Hrly Rate Calc'!$D$14,"")&lt;0,"N/A",IFERROR((G240/60)*M240*2*'Step 1- Hrly Rate Calc'!$D$14,"")))</f>
        <v/>
      </c>
      <c r="O240" s="77" t="str">
        <f t="shared" si="10"/>
        <v/>
      </c>
      <c r="P240" s="77" t="str">
        <f t="shared" si="11"/>
        <v/>
      </c>
    </row>
    <row r="241" spans="2:16" s="61" customFormat="1" ht="34" customHeight="1" x14ac:dyDescent="0.2">
      <c r="B241" s="77" t="str">
        <f>IF('Step 2- Activity Inventory'!B244="","",'Step 2- Activity Inventory'!B244)</f>
        <v/>
      </c>
      <c r="C241" s="77" t="str">
        <f>IF('Step 2- Activity Inventory'!C244="","",'Step 2- Activity Inventory'!C244)</f>
        <v/>
      </c>
      <c r="D241" s="88" t="str">
        <f>IF('Step 2- Activity Inventory'!E244="","",'Step 2- Activity Inventory'!E244)</f>
        <v/>
      </c>
      <c r="E241" s="88" t="str">
        <f>IF('Step 2- Activity Inventory'!F244="","",'Step 2- Activity Inventory'!F244)</f>
        <v/>
      </c>
      <c r="F241" s="88" t="str">
        <f>IF(E241="Genius","N/A",IF('Step 2- Activity Inventory'!G244="","",'Step 2- Activity Inventory'!G244))</f>
        <v/>
      </c>
      <c r="G241" s="89" t="str">
        <f>IF('Step 2- Activity Inventory'!D244="","",'Step 2- Activity Inventory'!D244)</f>
        <v/>
      </c>
      <c r="H241" s="90"/>
      <c r="I241" s="24"/>
      <c r="J241" s="24"/>
      <c r="K241" s="91"/>
      <c r="L241" s="92" t="str">
        <f>IF(OR('Step 2- Activity Inventory'!O244=6,AND('Step 2- Activity Inventory'!O244=5,E241="Genius")),'Step 1- Hrly Rate Calc'!$D$18,"")</f>
        <v/>
      </c>
      <c r="M241" s="93" t="str">
        <f t="shared" si="9"/>
        <v/>
      </c>
      <c r="N241" s="93" t="str">
        <f>IF(L241="","",IF(IFERROR((G241/60)*M241*2*'Step 1- Hrly Rate Calc'!$D$14,"")&lt;0,"N/A",IFERROR((G241/60)*M241*2*'Step 1- Hrly Rate Calc'!$D$14,"")))</f>
        <v/>
      </c>
      <c r="O241" s="77" t="str">
        <f t="shared" si="10"/>
        <v/>
      </c>
      <c r="P241" s="77" t="str">
        <f t="shared" si="11"/>
        <v/>
      </c>
    </row>
    <row r="242" spans="2:16" s="61" customFormat="1" ht="34" customHeight="1" x14ac:dyDescent="0.2">
      <c r="B242" s="77" t="str">
        <f>IF('Step 2- Activity Inventory'!B245="","",'Step 2- Activity Inventory'!B245)</f>
        <v/>
      </c>
      <c r="C242" s="77" t="str">
        <f>IF('Step 2- Activity Inventory'!C245="","",'Step 2- Activity Inventory'!C245)</f>
        <v/>
      </c>
      <c r="D242" s="88" t="str">
        <f>IF('Step 2- Activity Inventory'!E245="","",'Step 2- Activity Inventory'!E245)</f>
        <v/>
      </c>
      <c r="E242" s="88" t="str">
        <f>IF('Step 2- Activity Inventory'!F245="","",'Step 2- Activity Inventory'!F245)</f>
        <v/>
      </c>
      <c r="F242" s="88" t="str">
        <f>IF(E242="Genius","N/A",IF('Step 2- Activity Inventory'!G245="","",'Step 2- Activity Inventory'!G245))</f>
        <v/>
      </c>
      <c r="G242" s="89" t="str">
        <f>IF('Step 2- Activity Inventory'!D245="","",'Step 2- Activity Inventory'!D245)</f>
        <v/>
      </c>
      <c r="H242" s="90"/>
      <c r="I242" s="24"/>
      <c r="J242" s="24"/>
      <c r="K242" s="91"/>
      <c r="L242" s="92" t="str">
        <f>IF(OR('Step 2- Activity Inventory'!O245=6,AND('Step 2- Activity Inventory'!O245=5,E242="Genius")),'Step 1- Hrly Rate Calc'!$D$18,"")</f>
        <v/>
      </c>
      <c r="M242" s="93" t="str">
        <f t="shared" si="9"/>
        <v/>
      </c>
      <c r="N242" s="93" t="str">
        <f>IF(L242="","",IF(IFERROR((G242/60)*M242*2*'Step 1- Hrly Rate Calc'!$D$14,"")&lt;0,"N/A",IFERROR((G242/60)*M242*2*'Step 1- Hrly Rate Calc'!$D$14,"")))</f>
        <v/>
      </c>
      <c r="O242" s="77" t="str">
        <f t="shared" si="10"/>
        <v/>
      </c>
      <c r="P242" s="77" t="str">
        <f t="shared" si="11"/>
        <v/>
      </c>
    </row>
    <row r="243" spans="2:16" s="61" customFormat="1" ht="34" customHeight="1" x14ac:dyDescent="0.2">
      <c r="B243" s="77" t="str">
        <f>IF('Step 2- Activity Inventory'!B246="","",'Step 2- Activity Inventory'!B246)</f>
        <v/>
      </c>
      <c r="C243" s="77" t="str">
        <f>IF('Step 2- Activity Inventory'!C246="","",'Step 2- Activity Inventory'!C246)</f>
        <v/>
      </c>
      <c r="D243" s="88" t="str">
        <f>IF('Step 2- Activity Inventory'!E246="","",'Step 2- Activity Inventory'!E246)</f>
        <v/>
      </c>
      <c r="E243" s="88" t="str">
        <f>IF('Step 2- Activity Inventory'!F246="","",'Step 2- Activity Inventory'!F246)</f>
        <v/>
      </c>
      <c r="F243" s="88" t="str">
        <f>IF(E243="Genius","N/A",IF('Step 2- Activity Inventory'!G246="","",'Step 2- Activity Inventory'!G246))</f>
        <v/>
      </c>
      <c r="G243" s="89" t="str">
        <f>IF('Step 2- Activity Inventory'!D246="","",'Step 2- Activity Inventory'!D246)</f>
        <v/>
      </c>
      <c r="H243" s="90"/>
      <c r="I243" s="24"/>
      <c r="J243" s="24"/>
      <c r="K243" s="91"/>
      <c r="L243" s="92" t="str">
        <f>IF(OR('Step 2- Activity Inventory'!O246=6,AND('Step 2- Activity Inventory'!O246=5,E243="Genius")),'Step 1- Hrly Rate Calc'!$D$18,"")</f>
        <v/>
      </c>
      <c r="M243" s="93" t="str">
        <f t="shared" si="9"/>
        <v/>
      </c>
      <c r="N243" s="93" t="str">
        <f>IF(L243="","",IF(IFERROR((G243/60)*M243*2*'Step 1- Hrly Rate Calc'!$D$14,"")&lt;0,"N/A",IFERROR((G243/60)*M243*2*'Step 1- Hrly Rate Calc'!$D$14,"")))</f>
        <v/>
      </c>
      <c r="O243" s="77" t="str">
        <f t="shared" si="10"/>
        <v/>
      </c>
      <c r="P243" s="77" t="str">
        <f t="shared" si="11"/>
        <v/>
      </c>
    </row>
    <row r="244" spans="2:16" s="61" customFormat="1" ht="34" customHeight="1" x14ac:dyDescent="0.2">
      <c r="B244" s="77" t="str">
        <f>IF('Step 2- Activity Inventory'!B247="","",'Step 2- Activity Inventory'!B247)</f>
        <v/>
      </c>
      <c r="C244" s="77" t="str">
        <f>IF('Step 2- Activity Inventory'!C247="","",'Step 2- Activity Inventory'!C247)</f>
        <v/>
      </c>
      <c r="D244" s="88" t="str">
        <f>IF('Step 2- Activity Inventory'!E247="","",'Step 2- Activity Inventory'!E247)</f>
        <v/>
      </c>
      <c r="E244" s="88" t="str">
        <f>IF('Step 2- Activity Inventory'!F247="","",'Step 2- Activity Inventory'!F247)</f>
        <v/>
      </c>
      <c r="F244" s="88" t="str">
        <f>IF(E244="Genius","N/A",IF('Step 2- Activity Inventory'!G247="","",'Step 2- Activity Inventory'!G247))</f>
        <v/>
      </c>
      <c r="G244" s="89" t="str">
        <f>IF('Step 2- Activity Inventory'!D247="","",'Step 2- Activity Inventory'!D247)</f>
        <v/>
      </c>
      <c r="H244" s="90"/>
      <c r="I244" s="24"/>
      <c r="J244" s="24"/>
      <c r="K244" s="91"/>
      <c r="L244" s="92" t="str">
        <f>IF(OR('Step 2- Activity Inventory'!O247=6,AND('Step 2- Activity Inventory'!O247=5,E244="Genius")),'Step 1- Hrly Rate Calc'!$D$18,"")</f>
        <v/>
      </c>
      <c r="M244" s="93" t="str">
        <f t="shared" si="9"/>
        <v/>
      </c>
      <c r="N244" s="93" t="str">
        <f>IF(L244="","",IF(IFERROR((G244/60)*M244*2*'Step 1- Hrly Rate Calc'!$D$14,"")&lt;0,"N/A",IFERROR((G244/60)*M244*2*'Step 1- Hrly Rate Calc'!$D$14,"")))</f>
        <v/>
      </c>
      <c r="O244" s="77" t="str">
        <f t="shared" si="10"/>
        <v/>
      </c>
      <c r="P244" s="77" t="str">
        <f t="shared" si="11"/>
        <v/>
      </c>
    </row>
    <row r="245" spans="2:16" s="61" customFormat="1" ht="34" customHeight="1" x14ac:dyDescent="0.2">
      <c r="B245" s="77" t="str">
        <f>IF('Step 2- Activity Inventory'!B248="","",'Step 2- Activity Inventory'!B248)</f>
        <v/>
      </c>
      <c r="C245" s="77" t="str">
        <f>IF('Step 2- Activity Inventory'!C248="","",'Step 2- Activity Inventory'!C248)</f>
        <v/>
      </c>
      <c r="D245" s="88" t="str">
        <f>IF('Step 2- Activity Inventory'!E248="","",'Step 2- Activity Inventory'!E248)</f>
        <v/>
      </c>
      <c r="E245" s="88" t="str">
        <f>IF('Step 2- Activity Inventory'!F248="","",'Step 2- Activity Inventory'!F248)</f>
        <v/>
      </c>
      <c r="F245" s="88" t="str">
        <f>IF(E245="Genius","N/A",IF('Step 2- Activity Inventory'!G248="","",'Step 2- Activity Inventory'!G248))</f>
        <v/>
      </c>
      <c r="G245" s="89" t="str">
        <f>IF('Step 2- Activity Inventory'!D248="","",'Step 2- Activity Inventory'!D248)</f>
        <v/>
      </c>
      <c r="H245" s="90"/>
      <c r="I245" s="24"/>
      <c r="J245" s="24"/>
      <c r="K245" s="91"/>
      <c r="L245" s="92" t="str">
        <f>IF(OR('Step 2- Activity Inventory'!O248=6,AND('Step 2- Activity Inventory'!O248=5,E245="Genius")),'Step 1- Hrly Rate Calc'!$D$18,"")</f>
        <v/>
      </c>
      <c r="M245" s="93" t="str">
        <f t="shared" si="9"/>
        <v/>
      </c>
      <c r="N245" s="93" t="str">
        <f>IF(L245="","",IF(IFERROR((G245/60)*M245*2*'Step 1- Hrly Rate Calc'!$D$14,"")&lt;0,"N/A",IFERROR((G245/60)*M245*2*'Step 1- Hrly Rate Calc'!$D$14,"")))</f>
        <v/>
      </c>
      <c r="O245" s="77" t="str">
        <f t="shared" si="10"/>
        <v/>
      </c>
      <c r="P245" s="77" t="str">
        <f t="shared" si="11"/>
        <v/>
      </c>
    </row>
    <row r="246" spans="2:16" s="61" customFormat="1" ht="34" customHeight="1" x14ac:dyDescent="0.2">
      <c r="B246" s="77" t="str">
        <f>IF('Step 2- Activity Inventory'!B249="","",'Step 2- Activity Inventory'!B249)</f>
        <v/>
      </c>
      <c r="C246" s="77" t="str">
        <f>IF('Step 2- Activity Inventory'!C249="","",'Step 2- Activity Inventory'!C249)</f>
        <v/>
      </c>
      <c r="D246" s="88" t="str">
        <f>IF('Step 2- Activity Inventory'!E249="","",'Step 2- Activity Inventory'!E249)</f>
        <v/>
      </c>
      <c r="E246" s="88" t="str">
        <f>IF('Step 2- Activity Inventory'!F249="","",'Step 2- Activity Inventory'!F249)</f>
        <v/>
      </c>
      <c r="F246" s="88" t="str">
        <f>IF(E246="Genius","N/A",IF('Step 2- Activity Inventory'!G249="","",'Step 2- Activity Inventory'!G249))</f>
        <v/>
      </c>
      <c r="G246" s="89" t="str">
        <f>IF('Step 2- Activity Inventory'!D249="","",'Step 2- Activity Inventory'!D249)</f>
        <v/>
      </c>
      <c r="H246" s="90"/>
      <c r="I246" s="24"/>
      <c r="J246" s="24"/>
      <c r="K246" s="91"/>
      <c r="L246" s="92" t="str">
        <f>IF(OR('Step 2- Activity Inventory'!O249=6,AND('Step 2- Activity Inventory'!O249=5,E246="Genius")),'Step 1- Hrly Rate Calc'!$D$18,"")</f>
        <v/>
      </c>
      <c r="M246" s="93" t="str">
        <f t="shared" si="9"/>
        <v/>
      </c>
      <c r="N246" s="93" t="str">
        <f>IF(L246="","",IF(IFERROR((G246/60)*M246*2*'Step 1- Hrly Rate Calc'!$D$14,"")&lt;0,"N/A",IFERROR((G246/60)*M246*2*'Step 1- Hrly Rate Calc'!$D$14,"")))</f>
        <v/>
      </c>
      <c r="O246" s="77" t="str">
        <f t="shared" si="10"/>
        <v/>
      </c>
      <c r="P246" s="77" t="str">
        <f t="shared" si="11"/>
        <v/>
      </c>
    </row>
    <row r="247" spans="2:16" s="61" customFormat="1" ht="34" customHeight="1" x14ac:dyDescent="0.2">
      <c r="B247" s="77" t="str">
        <f>IF('Step 2- Activity Inventory'!B250="","",'Step 2- Activity Inventory'!B250)</f>
        <v/>
      </c>
      <c r="C247" s="77" t="str">
        <f>IF('Step 2- Activity Inventory'!C250="","",'Step 2- Activity Inventory'!C250)</f>
        <v/>
      </c>
      <c r="D247" s="88" t="str">
        <f>IF('Step 2- Activity Inventory'!E250="","",'Step 2- Activity Inventory'!E250)</f>
        <v/>
      </c>
      <c r="E247" s="88" t="str">
        <f>IF('Step 2- Activity Inventory'!F250="","",'Step 2- Activity Inventory'!F250)</f>
        <v/>
      </c>
      <c r="F247" s="88" t="str">
        <f>IF(E247="Genius","N/A",IF('Step 2- Activity Inventory'!G250="","",'Step 2- Activity Inventory'!G250))</f>
        <v/>
      </c>
      <c r="G247" s="89" t="str">
        <f>IF('Step 2- Activity Inventory'!D250="","",'Step 2- Activity Inventory'!D250)</f>
        <v/>
      </c>
      <c r="H247" s="90"/>
      <c r="I247" s="24"/>
      <c r="J247" s="24"/>
      <c r="K247" s="91"/>
      <c r="L247" s="92" t="str">
        <f>IF(OR('Step 2- Activity Inventory'!O250=6,AND('Step 2- Activity Inventory'!O250=5,E247="Genius")),'Step 1- Hrly Rate Calc'!$D$18,"")</f>
        <v/>
      </c>
      <c r="M247" s="93" t="str">
        <f t="shared" si="9"/>
        <v/>
      </c>
      <c r="N247" s="93" t="str">
        <f>IF(L247="","",IF(IFERROR((G247/60)*M247*2*'Step 1- Hrly Rate Calc'!$D$14,"")&lt;0,"N/A",IFERROR((G247/60)*M247*2*'Step 1- Hrly Rate Calc'!$D$14,"")))</f>
        <v/>
      </c>
      <c r="O247" s="77" t="str">
        <f t="shared" si="10"/>
        <v/>
      </c>
      <c r="P247" s="77" t="str">
        <f t="shared" si="11"/>
        <v/>
      </c>
    </row>
    <row r="248" spans="2:16" s="61" customFormat="1" ht="34" customHeight="1" x14ac:dyDescent="0.2">
      <c r="B248" s="77" t="str">
        <f>IF('Step 2- Activity Inventory'!B251="","",'Step 2- Activity Inventory'!B251)</f>
        <v/>
      </c>
      <c r="C248" s="77" t="str">
        <f>IF('Step 2- Activity Inventory'!C251="","",'Step 2- Activity Inventory'!C251)</f>
        <v/>
      </c>
      <c r="D248" s="88" t="str">
        <f>IF('Step 2- Activity Inventory'!E251="","",'Step 2- Activity Inventory'!E251)</f>
        <v/>
      </c>
      <c r="E248" s="88" t="str">
        <f>IF('Step 2- Activity Inventory'!F251="","",'Step 2- Activity Inventory'!F251)</f>
        <v/>
      </c>
      <c r="F248" s="88" t="str">
        <f>IF(E248="Genius","N/A",IF('Step 2- Activity Inventory'!G251="","",'Step 2- Activity Inventory'!G251))</f>
        <v/>
      </c>
      <c r="G248" s="89" t="str">
        <f>IF('Step 2- Activity Inventory'!D251="","",'Step 2- Activity Inventory'!D251)</f>
        <v/>
      </c>
      <c r="H248" s="90"/>
      <c r="I248" s="24"/>
      <c r="J248" s="24"/>
      <c r="K248" s="91"/>
      <c r="L248" s="92" t="str">
        <f>IF(OR('Step 2- Activity Inventory'!O251=6,AND('Step 2- Activity Inventory'!O251=5,E248="Genius")),'Step 1- Hrly Rate Calc'!$D$18,"")</f>
        <v/>
      </c>
      <c r="M248" s="93" t="str">
        <f t="shared" si="9"/>
        <v/>
      </c>
      <c r="N248" s="93" t="str">
        <f>IF(L248="","",IF(IFERROR((G248/60)*M248*2*'Step 1- Hrly Rate Calc'!$D$14,"")&lt;0,"N/A",IFERROR((G248/60)*M248*2*'Step 1- Hrly Rate Calc'!$D$14,"")))</f>
        <v/>
      </c>
      <c r="O248" s="77" t="str">
        <f t="shared" si="10"/>
        <v/>
      </c>
      <c r="P248" s="77" t="str">
        <f t="shared" si="11"/>
        <v/>
      </c>
    </row>
    <row r="249" spans="2:16" s="61" customFormat="1" ht="34" customHeight="1" x14ac:dyDescent="0.2">
      <c r="B249" s="77" t="str">
        <f>IF('Step 2- Activity Inventory'!B252="","",'Step 2- Activity Inventory'!B252)</f>
        <v/>
      </c>
      <c r="C249" s="77" t="str">
        <f>IF('Step 2- Activity Inventory'!C252="","",'Step 2- Activity Inventory'!C252)</f>
        <v/>
      </c>
      <c r="D249" s="88" t="str">
        <f>IF('Step 2- Activity Inventory'!E252="","",'Step 2- Activity Inventory'!E252)</f>
        <v/>
      </c>
      <c r="E249" s="88" t="str">
        <f>IF('Step 2- Activity Inventory'!F252="","",'Step 2- Activity Inventory'!F252)</f>
        <v/>
      </c>
      <c r="F249" s="88" t="str">
        <f>IF(E249="Genius","N/A",IF('Step 2- Activity Inventory'!G252="","",'Step 2- Activity Inventory'!G252))</f>
        <v/>
      </c>
      <c r="G249" s="89" t="str">
        <f>IF('Step 2- Activity Inventory'!D252="","",'Step 2- Activity Inventory'!D252)</f>
        <v/>
      </c>
      <c r="H249" s="90"/>
      <c r="I249" s="24"/>
      <c r="J249" s="24"/>
      <c r="K249" s="91"/>
      <c r="L249" s="92" t="str">
        <f>IF(OR('Step 2- Activity Inventory'!O252=6,AND('Step 2- Activity Inventory'!O252=5,E249="Genius")),'Step 1- Hrly Rate Calc'!$D$18,"")</f>
        <v/>
      </c>
      <c r="M249" s="93" t="str">
        <f t="shared" si="9"/>
        <v/>
      </c>
      <c r="N249" s="93" t="str">
        <f>IF(L249="","",IF(IFERROR((G249/60)*M249*2*'Step 1- Hrly Rate Calc'!$D$14,"")&lt;0,"N/A",IFERROR((G249/60)*M249*2*'Step 1- Hrly Rate Calc'!$D$14,"")))</f>
        <v/>
      </c>
      <c r="O249" s="77" t="str">
        <f t="shared" si="10"/>
        <v/>
      </c>
      <c r="P249" s="77" t="str">
        <f t="shared" si="11"/>
        <v/>
      </c>
    </row>
    <row r="250" spans="2:16" s="61" customFormat="1" ht="34" customHeight="1" x14ac:dyDescent="0.2">
      <c r="B250" s="77" t="str">
        <f>IF('Step 2- Activity Inventory'!B253="","",'Step 2- Activity Inventory'!B253)</f>
        <v/>
      </c>
      <c r="C250" s="77" t="str">
        <f>IF('Step 2- Activity Inventory'!C253="","",'Step 2- Activity Inventory'!C253)</f>
        <v/>
      </c>
      <c r="D250" s="88" t="str">
        <f>IF('Step 2- Activity Inventory'!E253="","",'Step 2- Activity Inventory'!E253)</f>
        <v/>
      </c>
      <c r="E250" s="88" t="str">
        <f>IF('Step 2- Activity Inventory'!F253="","",'Step 2- Activity Inventory'!F253)</f>
        <v/>
      </c>
      <c r="F250" s="88" t="str">
        <f>IF(E250="Genius","N/A",IF('Step 2- Activity Inventory'!G253="","",'Step 2- Activity Inventory'!G253))</f>
        <v/>
      </c>
      <c r="G250" s="89" t="str">
        <f>IF('Step 2- Activity Inventory'!D253="","",'Step 2- Activity Inventory'!D253)</f>
        <v/>
      </c>
      <c r="H250" s="90"/>
      <c r="I250" s="24"/>
      <c r="J250" s="24"/>
      <c r="K250" s="91"/>
      <c r="L250" s="92" t="str">
        <f>IF(OR('Step 2- Activity Inventory'!O253=6,AND('Step 2- Activity Inventory'!O253=5,E250="Genius")),'Step 1- Hrly Rate Calc'!$D$18,"")</f>
        <v/>
      </c>
      <c r="M250" s="93" t="str">
        <f t="shared" si="9"/>
        <v/>
      </c>
      <c r="N250" s="93" t="str">
        <f>IF(L250="","",IF(IFERROR((G250/60)*M250*2*'Step 1- Hrly Rate Calc'!$D$14,"")&lt;0,"N/A",IFERROR((G250/60)*M250*2*'Step 1- Hrly Rate Calc'!$D$14,"")))</f>
        <v/>
      </c>
      <c r="O250" s="77" t="str">
        <f t="shared" si="10"/>
        <v/>
      </c>
      <c r="P250" s="77" t="str">
        <f t="shared" si="11"/>
        <v/>
      </c>
    </row>
    <row r="251" spans="2:16" s="61" customFormat="1" ht="34" customHeight="1" x14ac:dyDescent="0.2">
      <c r="B251" s="77" t="str">
        <f>IF('Step 2- Activity Inventory'!B254="","",'Step 2- Activity Inventory'!B254)</f>
        <v/>
      </c>
      <c r="C251" s="77" t="str">
        <f>IF('Step 2- Activity Inventory'!C254="","",'Step 2- Activity Inventory'!C254)</f>
        <v/>
      </c>
      <c r="D251" s="88" t="str">
        <f>IF('Step 2- Activity Inventory'!E254="","",'Step 2- Activity Inventory'!E254)</f>
        <v/>
      </c>
      <c r="E251" s="88" t="str">
        <f>IF('Step 2- Activity Inventory'!F254="","",'Step 2- Activity Inventory'!F254)</f>
        <v/>
      </c>
      <c r="F251" s="88" t="str">
        <f>IF(E251="Genius","N/A",IF('Step 2- Activity Inventory'!G254="","",'Step 2- Activity Inventory'!G254))</f>
        <v/>
      </c>
      <c r="G251" s="89" t="str">
        <f>IF('Step 2- Activity Inventory'!D254="","",'Step 2- Activity Inventory'!D254)</f>
        <v/>
      </c>
      <c r="H251" s="90"/>
      <c r="I251" s="24"/>
      <c r="J251" s="24"/>
      <c r="K251" s="91"/>
      <c r="L251" s="92" t="str">
        <f>IF(OR('Step 2- Activity Inventory'!O254=6,AND('Step 2- Activity Inventory'!O254=5,E251="Genius")),'Step 1- Hrly Rate Calc'!$D$18,"")</f>
        <v/>
      </c>
      <c r="M251" s="93" t="str">
        <f t="shared" si="9"/>
        <v/>
      </c>
      <c r="N251" s="93" t="str">
        <f>IF(L251="","",IF(IFERROR((G251/60)*M251*2*'Step 1- Hrly Rate Calc'!$D$14,"")&lt;0,"N/A",IFERROR((G251/60)*M251*2*'Step 1- Hrly Rate Calc'!$D$14,"")))</f>
        <v/>
      </c>
      <c r="O251" s="77" t="str">
        <f t="shared" si="10"/>
        <v/>
      </c>
      <c r="P251" s="77" t="str">
        <f t="shared" si="11"/>
        <v/>
      </c>
    </row>
    <row r="252" spans="2:16" s="61" customFormat="1" ht="34" customHeight="1" x14ac:dyDescent="0.2">
      <c r="B252" s="77" t="str">
        <f>IF('Step 2- Activity Inventory'!B255="","",'Step 2- Activity Inventory'!B255)</f>
        <v/>
      </c>
      <c r="C252" s="77" t="str">
        <f>IF('Step 2- Activity Inventory'!C255="","",'Step 2- Activity Inventory'!C255)</f>
        <v/>
      </c>
      <c r="D252" s="88" t="str">
        <f>IF('Step 2- Activity Inventory'!E255="","",'Step 2- Activity Inventory'!E255)</f>
        <v/>
      </c>
      <c r="E252" s="88" t="str">
        <f>IF('Step 2- Activity Inventory'!F255="","",'Step 2- Activity Inventory'!F255)</f>
        <v/>
      </c>
      <c r="F252" s="88" t="str">
        <f>IF(E252="Genius","N/A",IF('Step 2- Activity Inventory'!G255="","",'Step 2- Activity Inventory'!G255))</f>
        <v/>
      </c>
      <c r="G252" s="89" t="str">
        <f>IF('Step 2- Activity Inventory'!D255="","",'Step 2- Activity Inventory'!D255)</f>
        <v/>
      </c>
      <c r="H252" s="90"/>
      <c r="I252" s="24"/>
      <c r="J252" s="24"/>
      <c r="K252" s="91"/>
      <c r="L252" s="92" t="str">
        <f>IF(OR('Step 2- Activity Inventory'!O255=6,AND('Step 2- Activity Inventory'!O255=5,E252="Genius")),'Step 1- Hrly Rate Calc'!$D$18,"")</f>
        <v/>
      </c>
      <c r="M252" s="93" t="str">
        <f t="shared" si="9"/>
        <v/>
      </c>
      <c r="N252" s="93" t="str">
        <f>IF(L252="","",IF(IFERROR((G252/60)*M252*2*'Step 1- Hrly Rate Calc'!$D$14,"")&lt;0,"N/A",IFERROR((G252/60)*M252*2*'Step 1- Hrly Rate Calc'!$D$14,"")))</f>
        <v/>
      </c>
      <c r="O252" s="77" t="str">
        <f t="shared" si="10"/>
        <v/>
      </c>
      <c r="P252" s="77" t="str">
        <f t="shared" si="11"/>
        <v/>
      </c>
    </row>
    <row r="253" spans="2:16" s="61" customFormat="1" ht="34" customHeight="1" x14ac:dyDescent="0.2">
      <c r="B253" s="77" t="str">
        <f>IF('Step 2- Activity Inventory'!B256="","",'Step 2- Activity Inventory'!B256)</f>
        <v/>
      </c>
      <c r="C253" s="77" t="str">
        <f>IF('Step 2- Activity Inventory'!C256="","",'Step 2- Activity Inventory'!C256)</f>
        <v/>
      </c>
      <c r="D253" s="88" t="str">
        <f>IF('Step 2- Activity Inventory'!E256="","",'Step 2- Activity Inventory'!E256)</f>
        <v/>
      </c>
      <c r="E253" s="88" t="str">
        <f>IF('Step 2- Activity Inventory'!F256="","",'Step 2- Activity Inventory'!F256)</f>
        <v/>
      </c>
      <c r="F253" s="88" t="str">
        <f>IF(E253="Genius","N/A",IF('Step 2- Activity Inventory'!G256="","",'Step 2- Activity Inventory'!G256))</f>
        <v/>
      </c>
      <c r="G253" s="89" t="str">
        <f>IF('Step 2- Activity Inventory'!D256="","",'Step 2- Activity Inventory'!D256)</f>
        <v/>
      </c>
      <c r="H253" s="90"/>
      <c r="I253" s="24"/>
      <c r="J253" s="24"/>
      <c r="K253" s="91"/>
      <c r="L253" s="92" t="str">
        <f>IF(OR('Step 2- Activity Inventory'!O256=6,AND('Step 2- Activity Inventory'!O256=5,E253="Genius")),'Step 1- Hrly Rate Calc'!$D$18,"")</f>
        <v/>
      </c>
      <c r="M253" s="93" t="str">
        <f t="shared" si="9"/>
        <v/>
      </c>
      <c r="N253" s="93" t="str">
        <f>IF(L253="","",IF(IFERROR((G253/60)*M253*2*'Step 1- Hrly Rate Calc'!$D$14,"")&lt;0,"N/A",IFERROR((G253/60)*M253*2*'Step 1- Hrly Rate Calc'!$D$14,"")))</f>
        <v/>
      </c>
      <c r="O253" s="77" t="str">
        <f t="shared" si="10"/>
        <v/>
      </c>
      <c r="P253" s="77" t="str">
        <f t="shared" si="11"/>
        <v/>
      </c>
    </row>
    <row r="254" spans="2:16" s="61" customFormat="1" ht="34" customHeight="1" x14ac:dyDescent="0.2">
      <c r="B254" s="77" t="str">
        <f>IF('Step 2- Activity Inventory'!B257="","",'Step 2- Activity Inventory'!B257)</f>
        <v/>
      </c>
      <c r="C254" s="77" t="str">
        <f>IF('Step 2- Activity Inventory'!C257="","",'Step 2- Activity Inventory'!C257)</f>
        <v/>
      </c>
      <c r="D254" s="88" t="str">
        <f>IF('Step 2- Activity Inventory'!E257="","",'Step 2- Activity Inventory'!E257)</f>
        <v/>
      </c>
      <c r="E254" s="88" t="str">
        <f>IF('Step 2- Activity Inventory'!F257="","",'Step 2- Activity Inventory'!F257)</f>
        <v/>
      </c>
      <c r="F254" s="88" t="str">
        <f>IF(E254="Genius","N/A",IF('Step 2- Activity Inventory'!G257="","",'Step 2- Activity Inventory'!G257))</f>
        <v/>
      </c>
      <c r="G254" s="89" t="str">
        <f>IF('Step 2- Activity Inventory'!D257="","",'Step 2- Activity Inventory'!D257)</f>
        <v/>
      </c>
      <c r="H254" s="90"/>
      <c r="I254" s="24"/>
      <c r="J254" s="24"/>
      <c r="K254" s="91"/>
      <c r="L254" s="92" t="str">
        <f>IF(OR('Step 2- Activity Inventory'!O257=6,AND('Step 2- Activity Inventory'!O257=5,E254="Genius")),'Step 1- Hrly Rate Calc'!$D$18,"")</f>
        <v/>
      </c>
      <c r="M254" s="93" t="str">
        <f t="shared" si="9"/>
        <v/>
      </c>
      <c r="N254" s="93" t="str">
        <f>IF(L254="","",IF(IFERROR((G254/60)*M254*2*'Step 1- Hrly Rate Calc'!$D$14,"")&lt;0,"N/A",IFERROR((G254/60)*M254*2*'Step 1- Hrly Rate Calc'!$D$14,"")))</f>
        <v/>
      </c>
      <c r="O254" s="77" t="str">
        <f t="shared" si="10"/>
        <v/>
      </c>
      <c r="P254" s="77" t="str">
        <f t="shared" si="11"/>
        <v/>
      </c>
    </row>
    <row r="255" spans="2:16" s="61" customFormat="1" ht="34" customHeight="1" x14ac:dyDescent="0.2">
      <c r="B255" s="77" t="str">
        <f>IF('Step 2- Activity Inventory'!B258="","",'Step 2- Activity Inventory'!B258)</f>
        <v/>
      </c>
      <c r="C255" s="77" t="str">
        <f>IF('Step 2- Activity Inventory'!C258="","",'Step 2- Activity Inventory'!C258)</f>
        <v/>
      </c>
      <c r="D255" s="88" t="str">
        <f>IF('Step 2- Activity Inventory'!E258="","",'Step 2- Activity Inventory'!E258)</f>
        <v/>
      </c>
      <c r="E255" s="88" t="str">
        <f>IF('Step 2- Activity Inventory'!F258="","",'Step 2- Activity Inventory'!F258)</f>
        <v/>
      </c>
      <c r="F255" s="88" t="str">
        <f>IF(E255="Genius","N/A",IF('Step 2- Activity Inventory'!G258="","",'Step 2- Activity Inventory'!G258))</f>
        <v/>
      </c>
      <c r="G255" s="89" t="str">
        <f>IF('Step 2- Activity Inventory'!D258="","",'Step 2- Activity Inventory'!D258)</f>
        <v/>
      </c>
      <c r="H255" s="90"/>
      <c r="I255" s="24"/>
      <c r="J255" s="24"/>
      <c r="K255" s="91"/>
      <c r="L255" s="92" t="str">
        <f>IF(OR('Step 2- Activity Inventory'!O258=6,AND('Step 2- Activity Inventory'!O258=5,E255="Genius")),'Step 1- Hrly Rate Calc'!$D$18,"")</f>
        <v/>
      </c>
      <c r="M255" s="93" t="str">
        <f t="shared" si="9"/>
        <v/>
      </c>
      <c r="N255" s="93" t="str">
        <f>IF(L255="","",IF(IFERROR((G255/60)*M255*2*'Step 1- Hrly Rate Calc'!$D$14,"")&lt;0,"N/A",IFERROR((G255/60)*M255*2*'Step 1- Hrly Rate Calc'!$D$14,"")))</f>
        <v/>
      </c>
      <c r="O255" s="77" t="str">
        <f t="shared" si="10"/>
        <v/>
      </c>
      <c r="P255" s="77" t="str">
        <f t="shared" si="11"/>
        <v/>
      </c>
    </row>
    <row r="256" spans="2:16" s="61" customFormat="1" ht="34" customHeight="1" x14ac:dyDescent="0.2">
      <c r="B256" s="77" t="str">
        <f>IF('Step 2- Activity Inventory'!B259="","",'Step 2- Activity Inventory'!B259)</f>
        <v/>
      </c>
      <c r="C256" s="77" t="str">
        <f>IF('Step 2- Activity Inventory'!C259="","",'Step 2- Activity Inventory'!C259)</f>
        <v/>
      </c>
      <c r="D256" s="88" t="str">
        <f>IF('Step 2- Activity Inventory'!E259="","",'Step 2- Activity Inventory'!E259)</f>
        <v/>
      </c>
      <c r="E256" s="88" t="str">
        <f>IF('Step 2- Activity Inventory'!F259="","",'Step 2- Activity Inventory'!F259)</f>
        <v/>
      </c>
      <c r="F256" s="88" t="str">
        <f>IF(E256="Genius","N/A",IF('Step 2- Activity Inventory'!G259="","",'Step 2- Activity Inventory'!G259))</f>
        <v/>
      </c>
      <c r="G256" s="89" t="str">
        <f>IF('Step 2- Activity Inventory'!D259="","",'Step 2- Activity Inventory'!D259)</f>
        <v/>
      </c>
      <c r="H256" s="90"/>
      <c r="I256" s="24"/>
      <c r="J256" s="24"/>
      <c r="K256" s="91"/>
      <c r="L256" s="92" t="str">
        <f>IF(OR('Step 2- Activity Inventory'!O259=6,AND('Step 2- Activity Inventory'!O259=5,E256="Genius")),'Step 1- Hrly Rate Calc'!$D$18,"")</f>
        <v/>
      </c>
      <c r="M256" s="93" t="str">
        <f t="shared" si="9"/>
        <v/>
      </c>
      <c r="N256" s="93" t="str">
        <f>IF(L256="","",IF(IFERROR((G256/60)*M256*2*'Step 1- Hrly Rate Calc'!$D$14,"")&lt;0,"N/A",IFERROR((G256/60)*M256*2*'Step 1- Hrly Rate Calc'!$D$14,"")))</f>
        <v/>
      </c>
      <c r="O256" s="77" t="str">
        <f t="shared" si="10"/>
        <v/>
      </c>
      <c r="P256" s="77" t="str">
        <f t="shared" si="11"/>
        <v/>
      </c>
    </row>
    <row r="257" spans="2:16" s="61" customFormat="1" ht="34" customHeight="1" x14ac:dyDescent="0.2">
      <c r="B257" s="77" t="str">
        <f>IF('Step 2- Activity Inventory'!B260="","",'Step 2- Activity Inventory'!B260)</f>
        <v/>
      </c>
      <c r="C257" s="77" t="str">
        <f>IF('Step 2- Activity Inventory'!C260="","",'Step 2- Activity Inventory'!C260)</f>
        <v/>
      </c>
      <c r="D257" s="88" t="str">
        <f>IF('Step 2- Activity Inventory'!E260="","",'Step 2- Activity Inventory'!E260)</f>
        <v/>
      </c>
      <c r="E257" s="88" t="str">
        <f>IF('Step 2- Activity Inventory'!F260="","",'Step 2- Activity Inventory'!F260)</f>
        <v/>
      </c>
      <c r="F257" s="88" t="str">
        <f>IF(E257="Genius","N/A",IF('Step 2- Activity Inventory'!G260="","",'Step 2- Activity Inventory'!G260))</f>
        <v/>
      </c>
      <c r="G257" s="89" t="str">
        <f>IF('Step 2- Activity Inventory'!D260="","",'Step 2- Activity Inventory'!D260)</f>
        <v/>
      </c>
      <c r="H257" s="90"/>
      <c r="I257" s="24"/>
      <c r="J257" s="24"/>
      <c r="K257" s="91"/>
      <c r="L257" s="92" t="str">
        <f>IF(OR('Step 2- Activity Inventory'!O260=6,AND('Step 2- Activity Inventory'!O260=5,E257="Genius")),'Step 1- Hrly Rate Calc'!$D$18,"")</f>
        <v/>
      </c>
      <c r="M257" s="93" t="str">
        <f t="shared" si="9"/>
        <v/>
      </c>
      <c r="N257" s="93" t="str">
        <f>IF(L257="","",IF(IFERROR((G257/60)*M257*2*'Step 1- Hrly Rate Calc'!$D$14,"")&lt;0,"N/A",IFERROR((G257/60)*M257*2*'Step 1- Hrly Rate Calc'!$D$14,"")))</f>
        <v/>
      </c>
      <c r="O257" s="77" t="str">
        <f t="shared" si="10"/>
        <v/>
      </c>
      <c r="P257" s="77" t="str">
        <f t="shared" si="11"/>
        <v/>
      </c>
    </row>
    <row r="258" spans="2:16" s="61" customFormat="1" ht="34" customHeight="1" x14ac:dyDescent="0.2">
      <c r="B258" s="77" t="str">
        <f>IF('Step 2- Activity Inventory'!B261="","",'Step 2- Activity Inventory'!B261)</f>
        <v/>
      </c>
      <c r="C258" s="77" t="str">
        <f>IF('Step 2- Activity Inventory'!C261="","",'Step 2- Activity Inventory'!C261)</f>
        <v/>
      </c>
      <c r="D258" s="88" t="str">
        <f>IF('Step 2- Activity Inventory'!E261="","",'Step 2- Activity Inventory'!E261)</f>
        <v/>
      </c>
      <c r="E258" s="88" t="str">
        <f>IF('Step 2- Activity Inventory'!F261="","",'Step 2- Activity Inventory'!F261)</f>
        <v/>
      </c>
      <c r="F258" s="88" t="str">
        <f>IF(E258="Genius","N/A",IF('Step 2- Activity Inventory'!G261="","",'Step 2- Activity Inventory'!G261))</f>
        <v/>
      </c>
      <c r="G258" s="89" t="str">
        <f>IF('Step 2- Activity Inventory'!D261="","",'Step 2- Activity Inventory'!D261)</f>
        <v/>
      </c>
      <c r="H258" s="90"/>
      <c r="I258" s="24"/>
      <c r="J258" s="24"/>
      <c r="K258" s="91"/>
      <c r="L258" s="92" t="str">
        <f>IF(OR('Step 2- Activity Inventory'!O261=6,AND('Step 2- Activity Inventory'!O261=5,E258="Genius")),'Step 1- Hrly Rate Calc'!$D$18,"")</f>
        <v/>
      </c>
      <c r="M258" s="93" t="str">
        <f t="shared" si="9"/>
        <v/>
      </c>
      <c r="N258" s="93" t="str">
        <f>IF(L258="","",IF(IFERROR((G258/60)*M258*2*'Step 1- Hrly Rate Calc'!$D$14,"")&lt;0,"N/A",IFERROR((G258/60)*M258*2*'Step 1- Hrly Rate Calc'!$D$14,"")))</f>
        <v/>
      </c>
      <c r="O258" s="77" t="str">
        <f t="shared" si="10"/>
        <v/>
      </c>
      <c r="P258" s="77" t="str">
        <f t="shared" si="11"/>
        <v/>
      </c>
    </row>
    <row r="259" spans="2:16" s="61" customFormat="1" ht="34" customHeight="1" x14ac:dyDescent="0.2">
      <c r="B259" s="77" t="str">
        <f>IF('Step 2- Activity Inventory'!B262="","",'Step 2- Activity Inventory'!B262)</f>
        <v/>
      </c>
      <c r="C259" s="77" t="str">
        <f>IF('Step 2- Activity Inventory'!C262="","",'Step 2- Activity Inventory'!C262)</f>
        <v/>
      </c>
      <c r="D259" s="88" t="str">
        <f>IF('Step 2- Activity Inventory'!E262="","",'Step 2- Activity Inventory'!E262)</f>
        <v/>
      </c>
      <c r="E259" s="88" t="str">
        <f>IF('Step 2- Activity Inventory'!F262="","",'Step 2- Activity Inventory'!F262)</f>
        <v/>
      </c>
      <c r="F259" s="88" t="str">
        <f>IF(E259="Genius","N/A",IF('Step 2- Activity Inventory'!G262="","",'Step 2- Activity Inventory'!G262))</f>
        <v/>
      </c>
      <c r="G259" s="89" t="str">
        <f>IF('Step 2- Activity Inventory'!D262="","",'Step 2- Activity Inventory'!D262)</f>
        <v/>
      </c>
      <c r="H259" s="90"/>
      <c r="I259" s="24"/>
      <c r="J259" s="24"/>
      <c r="K259" s="91"/>
      <c r="L259" s="92" t="str">
        <f>IF(OR('Step 2- Activity Inventory'!O262=6,AND('Step 2- Activity Inventory'!O262=5,E259="Genius")),'Step 1- Hrly Rate Calc'!$D$18,"")</f>
        <v/>
      </c>
      <c r="M259" s="93" t="str">
        <f t="shared" si="9"/>
        <v/>
      </c>
      <c r="N259" s="93" t="str">
        <f>IF(L259="","",IF(IFERROR((G259/60)*M259*2*'Step 1- Hrly Rate Calc'!$D$14,"")&lt;0,"N/A",IFERROR((G259/60)*M259*2*'Step 1- Hrly Rate Calc'!$D$14,"")))</f>
        <v/>
      </c>
      <c r="O259" s="77" t="str">
        <f t="shared" si="10"/>
        <v/>
      </c>
      <c r="P259" s="77" t="str">
        <f t="shared" si="11"/>
        <v/>
      </c>
    </row>
    <row r="260" spans="2:16" s="61" customFormat="1" ht="34" customHeight="1" x14ac:dyDescent="0.2">
      <c r="B260" s="77" t="str">
        <f>IF('Step 2- Activity Inventory'!B263="","",'Step 2- Activity Inventory'!B263)</f>
        <v/>
      </c>
      <c r="C260" s="77" t="str">
        <f>IF('Step 2- Activity Inventory'!C263="","",'Step 2- Activity Inventory'!C263)</f>
        <v/>
      </c>
      <c r="D260" s="88" t="str">
        <f>IF('Step 2- Activity Inventory'!E263="","",'Step 2- Activity Inventory'!E263)</f>
        <v/>
      </c>
      <c r="E260" s="88" t="str">
        <f>IF('Step 2- Activity Inventory'!F263="","",'Step 2- Activity Inventory'!F263)</f>
        <v/>
      </c>
      <c r="F260" s="88" t="str">
        <f>IF(E260="Genius","N/A",IF('Step 2- Activity Inventory'!G263="","",'Step 2- Activity Inventory'!G263))</f>
        <v/>
      </c>
      <c r="G260" s="89" t="str">
        <f>IF('Step 2- Activity Inventory'!D263="","",'Step 2- Activity Inventory'!D263)</f>
        <v/>
      </c>
      <c r="H260" s="90"/>
      <c r="I260" s="24"/>
      <c r="J260" s="24"/>
      <c r="K260" s="91"/>
      <c r="L260" s="92" t="str">
        <f>IF(OR('Step 2- Activity Inventory'!O263=6,AND('Step 2- Activity Inventory'!O263=5,E260="Genius")),'Step 1- Hrly Rate Calc'!$D$18,"")</f>
        <v/>
      </c>
      <c r="M260" s="93" t="str">
        <f t="shared" si="9"/>
        <v/>
      </c>
      <c r="N260" s="93" t="str">
        <f>IF(L260="","",IF(IFERROR((G260/60)*M260*2*'Step 1- Hrly Rate Calc'!$D$14,"")&lt;0,"N/A",IFERROR((G260/60)*M260*2*'Step 1- Hrly Rate Calc'!$D$14,"")))</f>
        <v/>
      </c>
      <c r="O260" s="77" t="str">
        <f t="shared" si="10"/>
        <v/>
      </c>
      <c r="P260" s="77" t="str">
        <f t="shared" si="11"/>
        <v/>
      </c>
    </row>
    <row r="261" spans="2:16" s="61" customFormat="1" ht="34" customHeight="1" x14ac:dyDescent="0.2">
      <c r="B261" s="77" t="str">
        <f>IF('Step 2- Activity Inventory'!B264="","",'Step 2- Activity Inventory'!B264)</f>
        <v/>
      </c>
      <c r="C261" s="77" t="str">
        <f>IF('Step 2- Activity Inventory'!C264="","",'Step 2- Activity Inventory'!C264)</f>
        <v/>
      </c>
      <c r="D261" s="88" t="str">
        <f>IF('Step 2- Activity Inventory'!E264="","",'Step 2- Activity Inventory'!E264)</f>
        <v/>
      </c>
      <c r="E261" s="88" t="str">
        <f>IF('Step 2- Activity Inventory'!F264="","",'Step 2- Activity Inventory'!F264)</f>
        <v/>
      </c>
      <c r="F261" s="88" t="str">
        <f>IF(E261="Genius","N/A",IF('Step 2- Activity Inventory'!G264="","",'Step 2- Activity Inventory'!G264))</f>
        <v/>
      </c>
      <c r="G261" s="89" t="str">
        <f>IF('Step 2- Activity Inventory'!D264="","",'Step 2- Activity Inventory'!D264)</f>
        <v/>
      </c>
      <c r="H261" s="90"/>
      <c r="I261" s="24"/>
      <c r="J261" s="24"/>
      <c r="K261" s="91"/>
      <c r="L261" s="92" t="str">
        <f>IF(OR('Step 2- Activity Inventory'!O264=6,AND('Step 2- Activity Inventory'!O264=5,E261="Genius")),'Step 1- Hrly Rate Calc'!$D$18,"")</f>
        <v/>
      </c>
      <c r="M261" s="93" t="str">
        <f t="shared" si="9"/>
        <v/>
      </c>
      <c r="N261" s="93" t="str">
        <f>IF(L261="","",IF(IFERROR((G261/60)*M261*2*'Step 1- Hrly Rate Calc'!$D$14,"")&lt;0,"N/A",IFERROR((G261/60)*M261*2*'Step 1- Hrly Rate Calc'!$D$14,"")))</f>
        <v/>
      </c>
      <c r="O261" s="77" t="str">
        <f t="shared" si="10"/>
        <v/>
      </c>
      <c r="P261" s="77" t="str">
        <f t="shared" si="11"/>
        <v/>
      </c>
    </row>
    <row r="262" spans="2:16" s="61" customFormat="1" ht="34" customHeight="1" x14ac:dyDescent="0.2">
      <c r="B262" s="77" t="str">
        <f>IF('Step 2- Activity Inventory'!B265="","",'Step 2- Activity Inventory'!B265)</f>
        <v/>
      </c>
      <c r="C262" s="77" t="str">
        <f>IF('Step 2- Activity Inventory'!C265="","",'Step 2- Activity Inventory'!C265)</f>
        <v/>
      </c>
      <c r="D262" s="88" t="str">
        <f>IF('Step 2- Activity Inventory'!E265="","",'Step 2- Activity Inventory'!E265)</f>
        <v/>
      </c>
      <c r="E262" s="88" t="str">
        <f>IF('Step 2- Activity Inventory'!F265="","",'Step 2- Activity Inventory'!F265)</f>
        <v/>
      </c>
      <c r="F262" s="88" t="str">
        <f>IF(E262="Genius","N/A",IF('Step 2- Activity Inventory'!G265="","",'Step 2- Activity Inventory'!G265))</f>
        <v/>
      </c>
      <c r="G262" s="89" t="str">
        <f>IF('Step 2- Activity Inventory'!D265="","",'Step 2- Activity Inventory'!D265)</f>
        <v/>
      </c>
      <c r="H262" s="90"/>
      <c r="I262" s="24"/>
      <c r="J262" s="24"/>
      <c r="K262" s="91"/>
      <c r="L262" s="92" t="str">
        <f>IF(OR('Step 2- Activity Inventory'!O265=6,AND('Step 2- Activity Inventory'!O265=5,E262="Genius")),'Step 1- Hrly Rate Calc'!$D$18,"")</f>
        <v/>
      </c>
      <c r="M262" s="93" t="str">
        <f t="shared" si="9"/>
        <v/>
      </c>
      <c r="N262" s="93" t="str">
        <f>IF(L262="","",IF(IFERROR((G262/60)*M262*2*'Step 1- Hrly Rate Calc'!$D$14,"")&lt;0,"N/A",IFERROR((G262/60)*M262*2*'Step 1- Hrly Rate Calc'!$D$14,"")))</f>
        <v/>
      </c>
      <c r="O262" s="77" t="str">
        <f t="shared" si="10"/>
        <v/>
      </c>
      <c r="P262" s="77" t="str">
        <f t="shared" si="11"/>
        <v/>
      </c>
    </row>
    <row r="263" spans="2:16" s="61" customFormat="1" ht="34" customHeight="1" x14ac:dyDescent="0.2">
      <c r="B263" s="77" t="str">
        <f>IF('Step 2- Activity Inventory'!B266="","",'Step 2- Activity Inventory'!B266)</f>
        <v/>
      </c>
      <c r="C263" s="77" t="str">
        <f>IF('Step 2- Activity Inventory'!C266="","",'Step 2- Activity Inventory'!C266)</f>
        <v/>
      </c>
      <c r="D263" s="88" t="str">
        <f>IF('Step 2- Activity Inventory'!E266="","",'Step 2- Activity Inventory'!E266)</f>
        <v/>
      </c>
      <c r="E263" s="88" t="str">
        <f>IF('Step 2- Activity Inventory'!F266="","",'Step 2- Activity Inventory'!F266)</f>
        <v/>
      </c>
      <c r="F263" s="88" t="str">
        <f>IF(E263="Genius","N/A",IF('Step 2- Activity Inventory'!G266="","",'Step 2- Activity Inventory'!G266))</f>
        <v/>
      </c>
      <c r="G263" s="89" t="str">
        <f>IF('Step 2- Activity Inventory'!D266="","",'Step 2- Activity Inventory'!D266)</f>
        <v/>
      </c>
      <c r="H263" s="90"/>
      <c r="I263" s="24"/>
      <c r="J263" s="24"/>
      <c r="K263" s="91"/>
      <c r="L263" s="92" t="str">
        <f>IF(OR('Step 2- Activity Inventory'!O266=6,AND('Step 2- Activity Inventory'!O266=5,E263="Genius")),'Step 1- Hrly Rate Calc'!$D$18,"")</f>
        <v/>
      </c>
      <c r="M263" s="93" t="str">
        <f t="shared" si="9"/>
        <v/>
      </c>
      <c r="N263" s="93" t="str">
        <f>IF(L263="","",IF(IFERROR((G263/60)*M263*2*'Step 1- Hrly Rate Calc'!$D$14,"")&lt;0,"N/A",IFERROR((G263/60)*M263*2*'Step 1- Hrly Rate Calc'!$D$14,"")))</f>
        <v/>
      </c>
      <c r="O263" s="77" t="str">
        <f t="shared" si="10"/>
        <v/>
      </c>
      <c r="P263" s="77" t="str">
        <f t="shared" si="11"/>
        <v/>
      </c>
    </row>
    <row r="264" spans="2:16" s="61" customFormat="1" ht="34" customHeight="1" x14ac:dyDescent="0.2">
      <c r="B264" s="77" t="str">
        <f>IF('Step 2- Activity Inventory'!B267="","",'Step 2- Activity Inventory'!B267)</f>
        <v/>
      </c>
      <c r="C264" s="77" t="str">
        <f>IF('Step 2- Activity Inventory'!C267="","",'Step 2- Activity Inventory'!C267)</f>
        <v/>
      </c>
      <c r="D264" s="88" t="str">
        <f>IF('Step 2- Activity Inventory'!E267="","",'Step 2- Activity Inventory'!E267)</f>
        <v/>
      </c>
      <c r="E264" s="88" t="str">
        <f>IF('Step 2- Activity Inventory'!F267="","",'Step 2- Activity Inventory'!F267)</f>
        <v/>
      </c>
      <c r="F264" s="88" t="str">
        <f>IF(E264="Genius","N/A",IF('Step 2- Activity Inventory'!G267="","",'Step 2- Activity Inventory'!G267))</f>
        <v/>
      </c>
      <c r="G264" s="89" t="str">
        <f>IF('Step 2- Activity Inventory'!D267="","",'Step 2- Activity Inventory'!D267)</f>
        <v/>
      </c>
      <c r="H264" s="90"/>
      <c r="I264" s="24"/>
      <c r="J264" s="24"/>
      <c r="K264" s="91"/>
      <c r="L264" s="92" t="str">
        <f>IF(OR('Step 2- Activity Inventory'!O267=6,AND('Step 2- Activity Inventory'!O267=5,E264="Genius")),'Step 1- Hrly Rate Calc'!$D$18,"")</f>
        <v/>
      </c>
      <c r="M264" s="93" t="str">
        <f t="shared" si="9"/>
        <v/>
      </c>
      <c r="N264" s="93" t="str">
        <f>IF(L264="","",IF(IFERROR((G264/60)*M264*2*'Step 1- Hrly Rate Calc'!$D$14,"")&lt;0,"N/A",IFERROR((G264/60)*M264*2*'Step 1- Hrly Rate Calc'!$D$14,"")))</f>
        <v/>
      </c>
      <c r="O264" s="77" t="str">
        <f t="shared" si="10"/>
        <v/>
      </c>
      <c r="P264" s="77" t="str">
        <f t="shared" si="11"/>
        <v/>
      </c>
    </row>
    <row r="265" spans="2:16" s="61" customFormat="1" ht="34" customHeight="1" x14ac:dyDescent="0.2">
      <c r="B265" s="77" t="str">
        <f>IF('Step 2- Activity Inventory'!B268="","",'Step 2- Activity Inventory'!B268)</f>
        <v/>
      </c>
      <c r="C265" s="77" t="str">
        <f>IF('Step 2- Activity Inventory'!C268="","",'Step 2- Activity Inventory'!C268)</f>
        <v/>
      </c>
      <c r="D265" s="88" t="str">
        <f>IF('Step 2- Activity Inventory'!E268="","",'Step 2- Activity Inventory'!E268)</f>
        <v/>
      </c>
      <c r="E265" s="88" t="str">
        <f>IF('Step 2- Activity Inventory'!F268="","",'Step 2- Activity Inventory'!F268)</f>
        <v/>
      </c>
      <c r="F265" s="88" t="str">
        <f>IF(E265="Genius","N/A",IF('Step 2- Activity Inventory'!G268="","",'Step 2- Activity Inventory'!G268))</f>
        <v/>
      </c>
      <c r="G265" s="89" t="str">
        <f>IF('Step 2- Activity Inventory'!D268="","",'Step 2- Activity Inventory'!D268)</f>
        <v/>
      </c>
      <c r="H265" s="90"/>
      <c r="I265" s="24"/>
      <c r="J265" s="24"/>
      <c r="K265" s="91"/>
      <c r="L265" s="92" t="str">
        <f>IF(OR('Step 2- Activity Inventory'!O268=6,AND('Step 2- Activity Inventory'!O268=5,E265="Genius")),'Step 1- Hrly Rate Calc'!$D$18,"")</f>
        <v/>
      </c>
      <c r="M265" s="93" t="str">
        <f t="shared" ref="M265:M328" si="12">IF(B265="","",IFERROR(K265-L265,""))</f>
        <v/>
      </c>
      <c r="N265" s="93" t="str">
        <f>IF(L265="","",IF(IFERROR((G265/60)*M265*2*'Step 1- Hrly Rate Calc'!$D$14,"")&lt;0,"N/A",IFERROR((G265/60)*M265*2*'Step 1- Hrly Rate Calc'!$D$14,"")))</f>
        <v/>
      </c>
      <c r="O265" s="77" t="str">
        <f t="shared" ref="O265:O328" si="13">IF(E265="Genius","KEEP DOING",IF(L265="","",IF(K265&gt;(L265*0.75),"KEEP DOING","STOP DOING")))</f>
        <v/>
      </c>
      <c r="P265" s="77" t="str">
        <f t="shared" ref="P265:P328" si="14">IF(L265="","",IF(O265="STOP DOING",IF(J265="Yes","Ready to Stop Doing","Not Ready"),"N/A"))</f>
        <v/>
      </c>
    </row>
    <row r="266" spans="2:16" s="61" customFormat="1" ht="34" customHeight="1" x14ac:dyDescent="0.2">
      <c r="B266" s="77" t="str">
        <f>IF('Step 2- Activity Inventory'!B269="","",'Step 2- Activity Inventory'!B269)</f>
        <v/>
      </c>
      <c r="C266" s="77" t="str">
        <f>IF('Step 2- Activity Inventory'!C269="","",'Step 2- Activity Inventory'!C269)</f>
        <v/>
      </c>
      <c r="D266" s="88" t="str">
        <f>IF('Step 2- Activity Inventory'!E269="","",'Step 2- Activity Inventory'!E269)</f>
        <v/>
      </c>
      <c r="E266" s="88" t="str">
        <f>IF('Step 2- Activity Inventory'!F269="","",'Step 2- Activity Inventory'!F269)</f>
        <v/>
      </c>
      <c r="F266" s="88" t="str">
        <f>IF(E266="Genius","N/A",IF('Step 2- Activity Inventory'!G269="","",'Step 2- Activity Inventory'!G269))</f>
        <v/>
      </c>
      <c r="G266" s="89" t="str">
        <f>IF('Step 2- Activity Inventory'!D269="","",'Step 2- Activity Inventory'!D269)</f>
        <v/>
      </c>
      <c r="H266" s="90"/>
      <c r="I266" s="24"/>
      <c r="J266" s="24"/>
      <c r="K266" s="91"/>
      <c r="L266" s="92" t="str">
        <f>IF(OR('Step 2- Activity Inventory'!O269=6,AND('Step 2- Activity Inventory'!O269=5,E266="Genius")),'Step 1- Hrly Rate Calc'!$D$18,"")</f>
        <v/>
      </c>
      <c r="M266" s="93" t="str">
        <f t="shared" si="12"/>
        <v/>
      </c>
      <c r="N266" s="93" t="str">
        <f>IF(L266="","",IF(IFERROR((G266/60)*M266*2*'Step 1- Hrly Rate Calc'!$D$14,"")&lt;0,"N/A",IFERROR((G266/60)*M266*2*'Step 1- Hrly Rate Calc'!$D$14,"")))</f>
        <v/>
      </c>
      <c r="O266" s="77" t="str">
        <f t="shared" si="13"/>
        <v/>
      </c>
      <c r="P266" s="77" t="str">
        <f t="shared" si="14"/>
        <v/>
      </c>
    </row>
    <row r="267" spans="2:16" s="61" customFormat="1" ht="34" customHeight="1" x14ac:dyDescent="0.2">
      <c r="B267" s="77" t="str">
        <f>IF('Step 2- Activity Inventory'!B270="","",'Step 2- Activity Inventory'!B270)</f>
        <v/>
      </c>
      <c r="C267" s="77" t="str">
        <f>IF('Step 2- Activity Inventory'!C270="","",'Step 2- Activity Inventory'!C270)</f>
        <v/>
      </c>
      <c r="D267" s="88" t="str">
        <f>IF('Step 2- Activity Inventory'!E270="","",'Step 2- Activity Inventory'!E270)</f>
        <v/>
      </c>
      <c r="E267" s="88" t="str">
        <f>IF('Step 2- Activity Inventory'!F270="","",'Step 2- Activity Inventory'!F270)</f>
        <v/>
      </c>
      <c r="F267" s="88" t="str">
        <f>IF(E267="Genius","N/A",IF('Step 2- Activity Inventory'!G270="","",'Step 2- Activity Inventory'!G270))</f>
        <v/>
      </c>
      <c r="G267" s="89" t="str">
        <f>IF('Step 2- Activity Inventory'!D270="","",'Step 2- Activity Inventory'!D270)</f>
        <v/>
      </c>
      <c r="H267" s="90"/>
      <c r="I267" s="24"/>
      <c r="J267" s="24"/>
      <c r="K267" s="91"/>
      <c r="L267" s="92" t="str">
        <f>IF(OR('Step 2- Activity Inventory'!O270=6,AND('Step 2- Activity Inventory'!O270=5,E267="Genius")),'Step 1- Hrly Rate Calc'!$D$18,"")</f>
        <v/>
      </c>
      <c r="M267" s="93" t="str">
        <f t="shared" si="12"/>
        <v/>
      </c>
      <c r="N267" s="93" t="str">
        <f>IF(L267="","",IF(IFERROR((G267/60)*M267*2*'Step 1- Hrly Rate Calc'!$D$14,"")&lt;0,"N/A",IFERROR((G267/60)*M267*2*'Step 1- Hrly Rate Calc'!$D$14,"")))</f>
        <v/>
      </c>
      <c r="O267" s="77" t="str">
        <f t="shared" si="13"/>
        <v/>
      </c>
      <c r="P267" s="77" t="str">
        <f t="shared" si="14"/>
        <v/>
      </c>
    </row>
    <row r="268" spans="2:16" s="61" customFormat="1" ht="34" customHeight="1" x14ac:dyDescent="0.2">
      <c r="B268" s="77" t="str">
        <f>IF('Step 2- Activity Inventory'!B271="","",'Step 2- Activity Inventory'!B271)</f>
        <v/>
      </c>
      <c r="C268" s="77" t="str">
        <f>IF('Step 2- Activity Inventory'!C271="","",'Step 2- Activity Inventory'!C271)</f>
        <v/>
      </c>
      <c r="D268" s="88" t="str">
        <f>IF('Step 2- Activity Inventory'!E271="","",'Step 2- Activity Inventory'!E271)</f>
        <v/>
      </c>
      <c r="E268" s="88" t="str">
        <f>IF('Step 2- Activity Inventory'!F271="","",'Step 2- Activity Inventory'!F271)</f>
        <v/>
      </c>
      <c r="F268" s="88" t="str">
        <f>IF(E268="Genius","N/A",IF('Step 2- Activity Inventory'!G271="","",'Step 2- Activity Inventory'!G271))</f>
        <v/>
      </c>
      <c r="G268" s="89" t="str">
        <f>IF('Step 2- Activity Inventory'!D271="","",'Step 2- Activity Inventory'!D271)</f>
        <v/>
      </c>
      <c r="H268" s="90"/>
      <c r="I268" s="24"/>
      <c r="J268" s="24"/>
      <c r="K268" s="91"/>
      <c r="L268" s="92" t="str">
        <f>IF(OR('Step 2- Activity Inventory'!O271=6,AND('Step 2- Activity Inventory'!O271=5,E268="Genius")),'Step 1- Hrly Rate Calc'!$D$18,"")</f>
        <v/>
      </c>
      <c r="M268" s="93" t="str">
        <f t="shared" si="12"/>
        <v/>
      </c>
      <c r="N268" s="93" t="str">
        <f>IF(L268="","",IF(IFERROR((G268/60)*M268*2*'Step 1- Hrly Rate Calc'!$D$14,"")&lt;0,"N/A",IFERROR((G268/60)*M268*2*'Step 1- Hrly Rate Calc'!$D$14,"")))</f>
        <v/>
      </c>
      <c r="O268" s="77" t="str">
        <f t="shared" si="13"/>
        <v/>
      </c>
      <c r="P268" s="77" t="str">
        <f t="shared" si="14"/>
        <v/>
      </c>
    </row>
    <row r="269" spans="2:16" s="61" customFormat="1" ht="34" customHeight="1" x14ac:dyDescent="0.2">
      <c r="B269" s="77" t="str">
        <f>IF('Step 2- Activity Inventory'!B272="","",'Step 2- Activity Inventory'!B272)</f>
        <v/>
      </c>
      <c r="C269" s="77" t="str">
        <f>IF('Step 2- Activity Inventory'!C272="","",'Step 2- Activity Inventory'!C272)</f>
        <v/>
      </c>
      <c r="D269" s="88" t="str">
        <f>IF('Step 2- Activity Inventory'!E272="","",'Step 2- Activity Inventory'!E272)</f>
        <v/>
      </c>
      <c r="E269" s="88" t="str">
        <f>IF('Step 2- Activity Inventory'!F272="","",'Step 2- Activity Inventory'!F272)</f>
        <v/>
      </c>
      <c r="F269" s="88" t="str">
        <f>IF(E269="Genius","N/A",IF('Step 2- Activity Inventory'!G272="","",'Step 2- Activity Inventory'!G272))</f>
        <v/>
      </c>
      <c r="G269" s="89" t="str">
        <f>IF('Step 2- Activity Inventory'!D272="","",'Step 2- Activity Inventory'!D272)</f>
        <v/>
      </c>
      <c r="H269" s="90"/>
      <c r="I269" s="24"/>
      <c r="J269" s="24"/>
      <c r="K269" s="91"/>
      <c r="L269" s="92" t="str">
        <f>IF(OR('Step 2- Activity Inventory'!O272=6,AND('Step 2- Activity Inventory'!O272=5,E269="Genius")),'Step 1- Hrly Rate Calc'!$D$18,"")</f>
        <v/>
      </c>
      <c r="M269" s="93" t="str">
        <f t="shared" si="12"/>
        <v/>
      </c>
      <c r="N269" s="93" t="str">
        <f>IF(L269="","",IF(IFERROR((G269/60)*M269*2*'Step 1- Hrly Rate Calc'!$D$14,"")&lt;0,"N/A",IFERROR((G269/60)*M269*2*'Step 1- Hrly Rate Calc'!$D$14,"")))</f>
        <v/>
      </c>
      <c r="O269" s="77" t="str">
        <f t="shared" si="13"/>
        <v/>
      </c>
      <c r="P269" s="77" t="str">
        <f t="shared" si="14"/>
        <v/>
      </c>
    </row>
    <row r="270" spans="2:16" s="61" customFormat="1" ht="34" customHeight="1" x14ac:dyDescent="0.2">
      <c r="B270" s="77" t="str">
        <f>IF('Step 2- Activity Inventory'!B273="","",'Step 2- Activity Inventory'!B273)</f>
        <v/>
      </c>
      <c r="C270" s="77" t="str">
        <f>IF('Step 2- Activity Inventory'!C273="","",'Step 2- Activity Inventory'!C273)</f>
        <v/>
      </c>
      <c r="D270" s="88" t="str">
        <f>IF('Step 2- Activity Inventory'!E273="","",'Step 2- Activity Inventory'!E273)</f>
        <v/>
      </c>
      <c r="E270" s="88" t="str">
        <f>IF('Step 2- Activity Inventory'!F273="","",'Step 2- Activity Inventory'!F273)</f>
        <v/>
      </c>
      <c r="F270" s="88" t="str">
        <f>IF(E270="Genius","N/A",IF('Step 2- Activity Inventory'!G273="","",'Step 2- Activity Inventory'!G273))</f>
        <v/>
      </c>
      <c r="G270" s="89" t="str">
        <f>IF('Step 2- Activity Inventory'!D273="","",'Step 2- Activity Inventory'!D273)</f>
        <v/>
      </c>
      <c r="H270" s="90"/>
      <c r="I270" s="24"/>
      <c r="J270" s="24"/>
      <c r="K270" s="91"/>
      <c r="L270" s="92" t="str">
        <f>IF(OR('Step 2- Activity Inventory'!O273=6,AND('Step 2- Activity Inventory'!O273=5,E270="Genius")),'Step 1- Hrly Rate Calc'!$D$18,"")</f>
        <v/>
      </c>
      <c r="M270" s="93" t="str">
        <f t="shared" si="12"/>
        <v/>
      </c>
      <c r="N270" s="93" t="str">
        <f>IF(L270="","",IF(IFERROR((G270/60)*M270*2*'Step 1- Hrly Rate Calc'!$D$14,"")&lt;0,"N/A",IFERROR((G270/60)*M270*2*'Step 1- Hrly Rate Calc'!$D$14,"")))</f>
        <v/>
      </c>
      <c r="O270" s="77" t="str">
        <f t="shared" si="13"/>
        <v/>
      </c>
      <c r="P270" s="77" t="str">
        <f t="shared" si="14"/>
        <v/>
      </c>
    </row>
    <row r="271" spans="2:16" s="61" customFormat="1" ht="34" customHeight="1" x14ac:dyDescent="0.2">
      <c r="B271" s="77" t="str">
        <f>IF('Step 2- Activity Inventory'!B274="","",'Step 2- Activity Inventory'!B274)</f>
        <v/>
      </c>
      <c r="C271" s="77" t="str">
        <f>IF('Step 2- Activity Inventory'!C274="","",'Step 2- Activity Inventory'!C274)</f>
        <v/>
      </c>
      <c r="D271" s="88" t="str">
        <f>IF('Step 2- Activity Inventory'!E274="","",'Step 2- Activity Inventory'!E274)</f>
        <v/>
      </c>
      <c r="E271" s="88" t="str">
        <f>IF('Step 2- Activity Inventory'!F274="","",'Step 2- Activity Inventory'!F274)</f>
        <v/>
      </c>
      <c r="F271" s="88" t="str">
        <f>IF(E271="Genius","N/A",IF('Step 2- Activity Inventory'!G274="","",'Step 2- Activity Inventory'!G274))</f>
        <v/>
      </c>
      <c r="G271" s="89" t="str">
        <f>IF('Step 2- Activity Inventory'!D274="","",'Step 2- Activity Inventory'!D274)</f>
        <v/>
      </c>
      <c r="H271" s="90"/>
      <c r="I271" s="24"/>
      <c r="J271" s="24"/>
      <c r="K271" s="91"/>
      <c r="L271" s="92" t="str">
        <f>IF(OR('Step 2- Activity Inventory'!O274=6,AND('Step 2- Activity Inventory'!O274=5,E271="Genius")),'Step 1- Hrly Rate Calc'!$D$18,"")</f>
        <v/>
      </c>
      <c r="M271" s="93" t="str">
        <f t="shared" si="12"/>
        <v/>
      </c>
      <c r="N271" s="93" t="str">
        <f>IF(L271="","",IF(IFERROR((G271/60)*M271*2*'Step 1- Hrly Rate Calc'!$D$14,"")&lt;0,"N/A",IFERROR((G271/60)*M271*2*'Step 1- Hrly Rate Calc'!$D$14,"")))</f>
        <v/>
      </c>
      <c r="O271" s="77" t="str">
        <f t="shared" si="13"/>
        <v/>
      </c>
      <c r="P271" s="77" t="str">
        <f t="shared" si="14"/>
        <v/>
      </c>
    </row>
    <row r="272" spans="2:16" s="61" customFormat="1" ht="34" customHeight="1" x14ac:dyDescent="0.2">
      <c r="B272" s="77" t="str">
        <f>IF('Step 2- Activity Inventory'!B275="","",'Step 2- Activity Inventory'!B275)</f>
        <v/>
      </c>
      <c r="C272" s="77" t="str">
        <f>IF('Step 2- Activity Inventory'!C275="","",'Step 2- Activity Inventory'!C275)</f>
        <v/>
      </c>
      <c r="D272" s="88" t="str">
        <f>IF('Step 2- Activity Inventory'!E275="","",'Step 2- Activity Inventory'!E275)</f>
        <v/>
      </c>
      <c r="E272" s="88" t="str">
        <f>IF('Step 2- Activity Inventory'!F275="","",'Step 2- Activity Inventory'!F275)</f>
        <v/>
      </c>
      <c r="F272" s="88" t="str">
        <f>IF(E272="Genius","N/A",IF('Step 2- Activity Inventory'!G275="","",'Step 2- Activity Inventory'!G275))</f>
        <v/>
      </c>
      <c r="G272" s="89" t="str">
        <f>IF('Step 2- Activity Inventory'!D275="","",'Step 2- Activity Inventory'!D275)</f>
        <v/>
      </c>
      <c r="H272" s="90"/>
      <c r="I272" s="24"/>
      <c r="J272" s="24"/>
      <c r="K272" s="91"/>
      <c r="L272" s="92" t="str">
        <f>IF(OR('Step 2- Activity Inventory'!O275=6,AND('Step 2- Activity Inventory'!O275=5,E272="Genius")),'Step 1- Hrly Rate Calc'!$D$18,"")</f>
        <v/>
      </c>
      <c r="M272" s="93" t="str">
        <f t="shared" si="12"/>
        <v/>
      </c>
      <c r="N272" s="93" t="str">
        <f>IF(L272="","",IF(IFERROR((G272/60)*M272*2*'Step 1- Hrly Rate Calc'!$D$14,"")&lt;0,"N/A",IFERROR((G272/60)*M272*2*'Step 1- Hrly Rate Calc'!$D$14,"")))</f>
        <v/>
      </c>
      <c r="O272" s="77" t="str">
        <f t="shared" si="13"/>
        <v/>
      </c>
      <c r="P272" s="77" t="str">
        <f t="shared" si="14"/>
        <v/>
      </c>
    </row>
    <row r="273" spans="2:16" s="61" customFormat="1" ht="34" customHeight="1" x14ac:dyDescent="0.2">
      <c r="B273" s="77" t="str">
        <f>IF('Step 2- Activity Inventory'!B276="","",'Step 2- Activity Inventory'!B276)</f>
        <v/>
      </c>
      <c r="C273" s="77" t="str">
        <f>IF('Step 2- Activity Inventory'!C276="","",'Step 2- Activity Inventory'!C276)</f>
        <v/>
      </c>
      <c r="D273" s="88" t="str">
        <f>IF('Step 2- Activity Inventory'!E276="","",'Step 2- Activity Inventory'!E276)</f>
        <v/>
      </c>
      <c r="E273" s="88" t="str">
        <f>IF('Step 2- Activity Inventory'!F276="","",'Step 2- Activity Inventory'!F276)</f>
        <v/>
      </c>
      <c r="F273" s="88" t="str">
        <f>IF(E273="Genius","N/A",IF('Step 2- Activity Inventory'!G276="","",'Step 2- Activity Inventory'!G276))</f>
        <v/>
      </c>
      <c r="G273" s="89" t="str">
        <f>IF('Step 2- Activity Inventory'!D276="","",'Step 2- Activity Inventory'!D276)</f>
        <v/>
      </c>
      <c r="H273" s="90"/>
      <c r="I273" s="24"/>
      <c r="J273" s="24"/>
      <c r="K273" s="91"/>
      <c r="L273" s="92" t="str">
        <f>IF(OR('Step 2- Activity Inventory'!O276=6,AND('Step 2- Activity Inventory'!O276=5,E273="Genius")),'Step 1- Hrly Rate Calc'!$D$18,"")</f>
        <v/>
      </c>
      <c r="M273" s="93" t="str">
        <f t="shared" si="12"/>
        <v/>
      </c>
      <c r="N273" s="93" t="str">
        <f>IF(L273="","",IF(IFERROR((G273/60)*M273*2*'Step 1- Hrly Rate Calc'!$D$14,"")&lt;0,"N/A",IFERROR((G273/60)*M273*2*'Step 1- Hrly Rate Calc'!$D$14,"")))</f>
        <v/>
      </c>
      <c r="O273" s="77" t="str">
        <f t="shared" si="13"/>
        <v/>
      </c>
      <c r="P273" s="77" t="str">
        <f t="shared" si="14"/>
        <v/>
      </c>
    </row>
    <row r="274" spans="2:16" s="61" customFormat="1" ht="34" customHeight="1" x14ac:dyDescent="0.2">
      <c r="B274" s="77" t="str">
        <f>IF('Step 2- Activity Inventory'!B277="","",'Step 2- Activity Inventory'!B277)</f>
        <v/>
      </c>
      <c r="C274" s="77" t="str">
        <f>IF('Step 2- Activity Inventory'!C277="","",'Step 2- Activity Inventory'!C277)</f>
        <v/>
      </c>
      <c r="D274" s="88" t="str">
        <f>IF('Step 2- Activity Inventory'!E277="","",'Step 2- Activity Inventory'!E277)</f>
        <v/>
      </c>
      <c r="E274" s="88" t="str">
        <f>IF('Step 2- Activity Inventory'!F277="","",'Step 2- Activity Inventory'!F277)</f>
        <v/>
      </c>
      <c r="F274" s="88" t="str">
        <f>IF(E274="Genius","N/A",IF('Step 2- Activity Inventory'!G277="","",'Step 2- Activity Inventory'!G277))</f>
        <v/>
      </c>
      <c r="G274" s="89" t="str">
        <f>IF('Step 2- Activity Inventory'!D277="","",'Step 2- Activity Inventory'!D277)</f>
        <v/>
      </c>
      <c r="H274" s="90"/>
      <c r="I274" s="24"/>
      <c r="J274" s="24"/>
      <c r="K274" s="91"/>
      <c r="L274" s="92" t="str">
        <f>IF(OR('Step 2- Activity Inventory'!O277=6,AND('Step 2- Activity Inventory'!O277=5,E274="Genius")),'Step 1- Hrly Rate Calc'!$D$18,"")</f>
        <v/>
      </c>
      <c r="M274" s="93" t="str">
        <f t="shared" si="12"/>
        <v/>
      </c>
      <c r="N274" s="93" t="str">
        <f>IF(L274="","",IF(IFERROR((G274/60)*M274*2*'Step 1- Hrly Rate Calc'!$D$14,"")&lt;0,"N/A",IFERROR((G274/60)*M274*2*'Step 1- Hrly Rate Calc'!$D$14,"")))</f>
        <v/>
      </c>
      <c r="O274" s="77" t="str">
        <f t="shared" si="13"/>
        <v/>
      </c>
      <c r="P274" s="77" t="str">
        <f t="shared" si="14"/>
        <v/>
      </c>
    </row>
    <row r="275" spans="2:16" s="61" customFormat="1" ht="34" customHeight="1" x14ac:dyDescent="0.2">
      <c r="B275" s="77" t="str">
        <f>IF('Step 2- Activity Inventory'!B278="","",'Step 2- Activity Inventory'!B278)</f>
        <v/>
      </c>
      <c r="C275" s="77" t="str">
        <f>IF('Step 2- Activity Inventory'!C278="","",'Step 2- Activity Inventory'!C278)</f>
        <v/>
      </c>
      <c r="D275" s="88" t="str">
        <f>IF('Step 2- Activity Inventory'!E278="","",'Step 2- Activity Inventory'!E278)</f>
        <v/>
      </c>
      <c r="E275" s="88" t="str">
        <f>IF('Step 2- Activity Inventory'!F278="","",'Step 2- Activity Inventory'!F278)</f>
        <v/>
      </c>
      <c r="F275" s="88" t="str">
        <f>IF(E275="Genius","N/A",IF('Step 2- Activity Inventory'!G278="","",'Step 2- Activity Inventory'!G278))</f>
        <v/>
      </c>
      <c r="G275" s="89" t="str">
        <f>IF('Step 2- Activity Inventory'!D278="","",'Step 2- Activity Inventory'!D278)</f>
        <v/>
      </c>
      <c r="H275" s="90"/>
      <c r="I275" s="24"/>
      <c r="J275" s="24"/>
      <c r="K275" s="91"/>
      <c r="L275" s="92" t="str">
        <f>IF(OR('Step 2- Activity Inventory'!O278=6,AND('Step 2- Activity Inventory'!O278=5,E275="Genius")),'Step 1- Hrly Rate Calc'!$D$18,"")</f>
        <v/>
      </c>
      <c r="M275" s="93" t="str">
        <f t="shared" si="12"/>
        <v/>
      </c>
      <c r="N275" s="93" t="str">
        <f>IF(L275="","",IF(IFERROR((G275/60)*M275*2*'Step 1- Hrly Rate Calc'!$D$14,"")&lt;0,"N/A",IFERROR((G275/60)*M275*2*'Step 1- Hrly Rate Calc'!$D$14,"")))</f>
        <v/>
      </c>
      <c r="O275" s="77" t="str">
        <f t="shared" si="13"/>
        <v/>
      </c>
      <c r="P275" s="77" t="str">
        <f t="shared" si="14"/>
        <v/>
      </c>
    </row>
    <row r="276" spans="2:16" s="61" customFormat="1" ht="34" customHeight="1" x14ac:dyDescent="0.2">
      <c r="B276" s="77" t="str">
        <f>IF('Step 2- Activity Inventory'!B279="","",'Step 2- Activity Inventory'!B279)</f>
        <v/>
      </c>
      <c r="C276" s="77" t="str">
        <f>IF('Step 2- Activity Inventory'!C279="","",'Step 2- Activity Inventory'!C279)</f>
        <v/>
      </c>
      <c r="D276" s="88" t="str">
        <f>IF('Step 2- Activity Inventory'!E279="","",'Step 2- Activity Inventory'!E279)</f>
        <v/>
      </c>
      <c r="E276" s="88" t="str">
        <f>IF('Step 2- Activity Inventory'!F279="","",'Step 2- Activity Inventory'!F279)</f>
        <v/>
      </c>
      <c r="F276" s="88" t="str">
        <f>IF(E276="Genius","N/A",IF('Step 2- Activity Inventory'!G279="","",'Step 2- Activity Inventory'!G279))</f>
        <v/>
      </c>
      <c r="G276" s="89" t="str">
        <f>IF('Step 2- Activity Inventory'!D279="","",'Step 2- Activity Inventory'!D279)</f>
        <v/>
      </c>
      <c r="H276" s="90"/>
      <c r="I276" s="24"/>
      <c r="J276" s="24"/>
      <c r="K276" s="91"/>
      <c r="L276" s="92" t="str">
        <f>IF(OR('Step 2- Activity Inventory'!O279=6,AND('Step 2- Activity Inventory'!O279=5,E276="Genius")),'Step 1- Hrly Rate Calc'!$D$18,"")</f>
        <v/>
      </c>
      <c r="M276" s="93" t="str">
        <f t="shared" si="12"/>
        <v/>
      </c>
      <c r="N276" s="93" t="str">
        <f>IF(L276="","",IF(IFERROR((G276/60)*M276*2*'Step 1- Hrly Rate Calc'!$D$14,"")&lt;0,"N/A",IFERROR((G276/60)*M276*2*'Step 1- Hrly Rate Calc'!$D$14,"")))</f>
        <v/>
      </c>
      <c r="O276" s="77" t="str">
        <f t="shared" si="13"/>
        <v/>
      </c>
      <c r="P276" s="77" t="str">
        <f t="shared" si="14"/>
        <v/>
      </c>
    </row>
    <row r="277" spans="2:16" s="61" customFormat="1" ht="34" customHeight="1" x14ac:dyDescent="0.2">
      <c r="B277" s="77" t="str">
        <f>IF('Step 2- Activity Inventory'!B280="","",'Step 2- Activity Inventory'!B280)</f>
        <v/>
      </c>
      <c r="C277" s="77" t="str">
        <f>IF('Step 2- Activity Inventory'!C280="","",'Step 2- Activity Inventory'!C280)</f>
        <v/>
      </c>
      <c r="D277" s="88" t="str">
        <f>IF('Step 2- Activity Inventory'!E280="","",'Step 2- Activity Inventory'!E280)</f>
        <v/>
      </c>
      <c r="E277" s="88" t="str">
        <f>IF('Step 2- Activity Inventory'!F280="","",'Step 2- Activity Inventory'!F280)</f>
        <v/>
      </c>
      <c r="F277" s="88" t="str">
        <f>IF(E277="Genius","N/A",IF('Step 2- Activity Inventory'!G280="","",'Step 2- Activity Inventory'!G280))</f>
        <v/>
      </c>
      <c r="G277" s="89" t="str">
        <f>IF('Step 2- Activity Inventory'!D280="","",'Step 2- Activity Inventory'!D280)</f>
        <v/>
      </c>
      <c r="H277" s="90"/>
      <c r="I277" s="24"/>
      <c r="J277" s="24"/>
      <c r="K277" s="91"/>
      <c r="L277" s="92" t="str">
        <f>IF(OR('Step 2- Activity Inventory'!O280=6,AND('Step 2- Activity Inventory'!O280=5,E277="Genius")),'Step 1- Hrly Rate Calc'!$D$18,"")</f>
        <v/>
      </c>
      <c r="M277" s="93" t="str">
        <f t="shared" si="12"/>
        <v/>
      </c>
      <c r="N277" s="93" t="str">
        <f>IF(L277="","",IF(IFERROR((G277/60)*M277*2*'Step 1- Hrly Rate Calc'!$D$14,"")&lt;0,"N/A",IFERROR((G277/60)*M277*2*'Step 1- Hrly Rate Calc'!$D$14,"")))</f>
        <v/>
      </c>
      <c r="O277" s="77" t="str">
        <f t="shared" si="13"/>
        <v/>
      </c>
      <c r="P277" s="77" t="str">
        <f t="shared" si="14"/>
        <v/>
      </c>
    </row>
    <row r="278" spans="2:16" s="61" customFormat="1" ht="34" customHeight="1" x14ac:dyDescent="0.2">
      <c r="B278" s="77" t="str">
        <f>IF('Step 2- Activity Inventory'!B281="","",'Step 2- Activity Inventory'!B281)</f>
        <v/>
      </c>
      <c r="C278" s="77" t="str">
        <f>IF('Step 2- Activity Inventory'!C281="","",'Step 2- Activity Inventory'!C281)</f>
        <v/>
      </c>
      <c r="D278" s="88" t="str">
        <f>IF('Step 2- Activity Inventory'!E281="","",'Step 2- Activity Inventory'!E281)</f>
        <v/>
      </c>
      <c r="E278" s="88" t="str">
        <f>IF('Step 2- Activity Inventory'!F281="","",'Step 2- Activity Inventory'!F281)</f>
        <v/>
      </c>
      <c r="F278" s="88" t="str">
        <f>IF(E278="Genius","N/A",IF('Step 2- Activity Inventory'!G281="","",'Step 2- Activity Inventory'!G281))</f>
        <v/>
      </c>
      <c r="G278" s="89" t="str">
        <f>IF('Step 2- Activity Inventory'!D281="","",'Step 2- Activity Inventory'!D281)</f>
        <v/>
      </c>
      <c r="H278" s="90"/>
      <c r="I278" s="24"/>
      <c r="J278" s="24"/>
      <c r="K278" s="91"/>
      <c r="L278" s="92" t="str">
        <f>IF(OR('Step 2- Activity Inventory'!O281=6,AND('Step 2- Activity Inventory'!O281=5,E278="Genius")),'Step 1- Hrly Rate Calc'!$D$18,"")</f>
        <v/>
      </c>
      <c r="M278" s="93" t="str">
        <f t="shared" si="12"/>
        <v/>
      </c>
      <c r="N278" s="93" t="str">
        <f>IF(L278="","",IF(IFERROR((G278/60)*M278*2*'Step 1- Hrly Rate Calc'!$D$14,"")&lt;0,"N/A",IFERROR((G278/60)*M278*2*'Step 1- Hrly Rate Calc'!$D$14,"")))</f>
        <v/>
      </c>
      <c r="O278" s="77" t="str">
        <f t="shared" si="13"/>
        <v/>
      </c>
      <c r="P278" s="77" t="str">
        <f t="shared" si="14"/>
        <v/>
      </c>
    </row>
    <row r="279" spans="2:16" s="61" customFormat="1" ht="34" customHeight="1" x14ac:dyDescent="0.2">
      <c r="B279" s="77" t="str">
        <f>IF('Step 2- Activity Inventory'!B282="","",'Step 2- Activity Inventory'!B282)</f>
        <v/>
      </c>
      <c r="C279" s="77" t="str">
        <f>IF('Step 2- Activity Inventory'!C282="","",'Step 2- Activity Inventory'!C282)</f>
        <v/>
      </c>
      <c r="D279" s="88" t="str">
        <f>IF('Step 2- Activity Inventory'!E282="","",'Step 2- Activity Inventory'!E282)</f>
        <v/>
      </c>
      <c r="E279" s="88" t="str">
        <f>IF('Step 2- Activity Inventory'!F282="","",'Step 2- Activity Inventory'!F282)</f>
        <v/>
      </c>
      <c r="F279" s="88" t="str">
        <f>IF(E279="Genius","N/A",IF('Step 2- Activity Inventory'!G282="","",'Step 2- Activity Inventory'!G282))</f>
        <v/>
      </c>
      <c r="G279" s="89" t="str">
        <f>IF('Step 2- Activity Inventory'!D282="","",'Step 2- Activity Inventory'!D282)</f>
        <v/>
      </c>
      <c r="H279" s="90"/>
      <c r="I279" s="24"/>
      <c r="J279" s="24"/>
      <c r="K279" s="91"/>
      <c r="L279" s="92" t="str">
        <f>IF(OR('Step 2- Activity Inventory'!O282=6,AND('Step 2- Activity Inventory'!O282=5,E279="Genius")),'Step 1- Hrly Rate Calc'!$D$18,"")</f>
        <v/>
      </c>
      <c r="M279" s="93" t="str">
        <f t="shared" si="12"/>
        <v/>
      </c>
      <c r="N279" s="93" t="str">
        <f>IF(L279="","",IF(IFERROR((G279/60)*M279*2*'Step 1- Hrly Rate Calc'!$D$14,"")&lt;0,"N/A",IFERROR((G279/60)*M279*2*'Step 1- Hrly Rate Calc'!$D$14,"")))</f>
        <v/>
      </c>
      <c r="O279" s="77" t="str">
        <f t="shared" si="13"/>
        <v/>
      </c>
      <c r="P279" s="77" t="str">
        <f t="shared" si="14"/>
        <v/>
      </c>
    </row>
    <row r="280" spans="2:16" s="61" customFormat="1" ht="34" customHeight="1" x14ac:dyDescent="0.2">
      <c r="B280" s="77" t="str">
        <f>IF('Step 2- Activity Inventory'!B283="","",'Step 2- Activity Inventory'!B283)</f>
        <v/>
      </c>
      <c r="C280" s="77" t="str">
        <f>IF('Step 2- Activity Inventory'!C283="","",'Step 2- Activity Inventory'!C283)</f>
        <v/>
      </c>
      <c r="D280" s="88" t="str">
        <f>IF('Step 2- Activity Inventory'!E283="","",'Step 2- Activity Inventory'!E283)</f>
        <v/>
      </c>
      <c r="E280" s="88" t="str">
        <f>IF('Step 2- Activity Inventory'!F283="","",'Step 2- Activity Inventory'!F283)</f>
        <v/>
      </c>
      <c r="F280" s="88" t="str">
        <f>IF(E280="Genius","N/A",IF('Step 2- Activity Inventory'!G283="","",'Step 2- Activity Inventory'!G283))</f>
        <v/>
      </c>
      <c r="G280" s="89" t="str">
        <f>IF('Step 2- Activity Inventory'!D283="","",'Step 2- Activity Inventory'!D283)</f>
        <v/>
      </c>
      <c r="H280" s="90"/>
      <c r="I280" s="24"/>
      <c r="J280" s="24"/>
      <c r="K280" s="91"/>
      <c r="L280" s="92" t="str">
        <f>IF(OR('Step 2- Activity Inventory'!O283=6,AND('Step 2- Activity Inventory'!O283=5,E280="Genius")),'Step 1- Hrly Rate Calc'!$D$18,"")</f>
        <v/>
      </c>
      <c r="M280" s="93" t="str">
        <f t="shared" si="12"/>
        <v/>
      </c>
      <c r="N280" s="93" t="str">
        <f>IF(L280="","",IF(IFERROR((G280/60)*M280*2*'Step 1- Hrly Rate Calc'!$D$14,"")&lt;0,"N/A",IFERROR((G280/60)*M280*2*'Step 1- Hrly Rate Calc'!$D$14,"")))</f>
        <v/>
      </c>
      <c r="O280" s="77" t="str">
        <f t="shared" si="13"/>
        <v/>
      </c>
      <c r="P280" s="77" t="str">
        <f t="shared" si="14"/>
        <v/>
      </c>
    </row>
    <row r="281" spans="2:16" s="61" customFormat="1" ht="34" customHeight="1" x14ac:dyDescent="0.2">
      <c r="B281" s="77" t="str">
        <f>IF('Step 2- Activity Inventory'!B284="","",'Step 2- Activity Inventory'!B284)</f>
        <v/>
      </c>
      <c r="C281" s="77" t="str">
        <f>IF('Step 2- Activity Inventory'!C284="","",'Step 2- Activity Inventory'!C284)</f>
        <v/>
      </c>
      <c r="D281" s="88" t="str">
        <f>IF('Step 2- Activity Inventory'!E284="","",'Step 2- Activity Inventory'!E284)</f>
        <v/>
      </c>
      <c r="E281" s="88" t="str">
        <f>IF('Step 2- Activity Inventory'!F284="","",'Step 2- Activity Inventory'!F284)</f>
        <v/>
      </c>
      <c r="F281" s="88" t="str">
        <f>IF(E281="Genius","N/A",IF('Step 2- Activity Inventory'!G284="","",'Step 2- Activity Inventory'!G284))</f>
        <v/>
      </c>
      <c r="G281" s="89" t="str">
        <f>IF('Step 2- Activity Inventory'!D284="","",'Step 2- Activity Inventory'!D284)</f>
        <v/>
      </c>
      <c r="H281" s="90"/>
      <c r="I281" s="24"/>
      <c r="J281" s="24"/>
      <c r="K281" s="91"/>
      <c r="L281" s="92" t="str">
        <f>IF(OR('Step 2- Activity Inventory'!O284=6,AND('Step 2- Activity Inventory'!O284=5,E281="Genius")),'Step 1- Hrly Rate Calc'!$D$18,"")</f>
        <v/>
      </c>
      <c r="M281" s="93" t="str">
        <f t="shared" si="12"/>
        <v/>
      </c>
      <c r="N281" s="93" t="str">
        <f>IF(L281="","",IF(IFERROR((G281/60)*M281*2*'Step 1- Hrly Rate Calc'!$D$14,"")&lt;0,"N/A",IFERROR((G281/60)*M281*2*'Step 1- Hrly Rate Calc'!$D$14,"")))</f>
        <v/>
      </c>
      <c r="O281" s="77" t="str">
        <f t="shared" si="13"/>
        <v/>
      </c>
      <c r="P281" s="77" t="str">
        <f t="shared" si="14"/>
        <v/>
      </c>
    </row>
    <row r="282" spans="2:16" s="61" customFormat="1" ht="34" customHeight="1" x14ac:dyDescent="0.2">
      <c r="B282" s="77" t="str">
        <f>IF('Step 2- Activity Inventory'!B285="","",'Step 2- Activity Inventory'!B285)</f>
        <v/>
      </c>
      <c r="C282" s="77" t="str">
        <f>IF('Step 2- Activity Inventory'!C285="","",'Step 2- Activity Inventory'!C285)</f>
        <v/>
      </c>
      <c r="D282" s="88" t="str">
        <f>IF('Step 2- Activity Inventory'!E285="","",'Step 2- Activity Inventory'!E285)</f>
        <v/>
      </c>
      <c r="E282" s="88" t="str">
        <f>IF('Step 2- Activity Inventory'!F285="","",'Step 2- Activity Inventory'!F285)</f>
        <v/>
      </c>
      <c r="F282" s="88" t="str">
        <f>IF(E282="Genius","N/A",IF('Step 2- Activity Inventory'!G285="","",'Step 2- Activity Inventory'!G285))</f>
        <v/>
      </c>
      <c r="G282" s="89" t="str">
        <f>IF('Step 2- Activity Inventory'!D285="","",'Step 2- Activity Inventory'!D285)</f>
        <v/>
      </c>
      <c r="H282" s="90"/>
      <c r="I282" s="24"/>
      <c r="J282" s="24"/>
      <c r="K282" s="91"/>
      <c r="L282" s="92" t="str">
        <f>IF(OR('Step 2- Activity Inventory'!O285=6,AND('Step 2- Activity Inventory'!O285=5,E282="Genius")),'Step 1- Hrly Rate Calc'!$D$18,"")</f>
        <v/>
      </c>
      <c r="M282" s="93" t="str">
        <f t="shared" si="12"/>
        <v/>
      </c>
      <c r="N282" s="93" t="str">
        <f>IF(L282="","",IF(IFERROR((G282/60)*M282*2*'Step 1- Hrly Rate Calc'!$D$14,"")&lt;0,"N/A",IFERROR((G282/60)*M282*2*'Step 1- Hrly Rate Calc'!$D$14,"")))</f>
        <v/>
      </c>
      <c r="O282" s="77" t="str">
        <f t="shared" si="13"/>
        <v/>
      </c>
      <c r="P282" s="77" t="str">
        <f t="shared" si="14"/>
        <v/>
      </c>
    </row>
    <row r="283" spans="2:16" s="61" customFormat="1" ht="34" customHeight="1" x14ac:dyDescent="0.2">
      <c r="B283" s="77" t="str">
        <f>IF('Step 2- Activity Inventory'!B286="","",'Step 2- Activity Inventory'!B286)</f>
        <v/>
      </c>
      <c r="C283" s="77" t="str">
        <f>IF('Step 2- Activity Inventory'!C286="","",'Step 2- Activity Inventory'!C286)</f>
        <v/>
      </c>
      <c r="D283" s="88" t="str">
        <f>IF('Step 2- Activity Inventory'!E286="","",'Step 2- Activity Inventory'!E286)</f>
        <v/>
      </c>
      <c r="E283" s="88" t="str">
        <f>IF('Step 2- Activity Inventory'!F286="","",'Step 2- Activity Inventory'!F286)</f>
        <v/>
      </c>
      <c r="F283" s="88" t="str">
        <f>IF(E283="Genius","N/A",IF('Step 2- Activity Inventory'!G286="","",'Step 2- Activity Inventory'!G286))</f>
        <v/>
      </c>
      <c r="G283" s="89" t="str">
        <f>IF('Step 2- Activity Inventory'!D286="","",'Step 2- Activity Inventory'!D286)</f>
        <v/>
      </c>
      <c r="H283" s="90"/>
      <c r="I283" s="24"/>
      <c r="J283" s="24"/>
      <c r="K283" s="91"/>
      <c r="L283" s="92" t="str">
        <f>IF(OR('Step 2- Activity Inventory'!O286=6,AND('Step 2- Activity Inventory'!O286=5,E283="Genius")),'Step 1- Hrly Rate Calc'!$D$18,"")</f>
        <v/>
      </c>
      <c r="M283" s="93" t="str">
        <f t="shared" si="12"/>
        <v/>
      </c>
      <c r="N283" s="93" t="str">
        <f>IF(L283="","",IF(IFERROR((G283/60)*M283*2*'Step 1- Hrly Rate Calc'!$D$14,"")&lt;0,"N/A",IFERROR((G283/60)*M283*2*'Step 1- Hrly Rate Calc'!$D$14,"")))</f>
        <v/>
      </c>
      <c r="O283" s="77" t="str">
        <f t="shared" si="13"/>
        <v/>
      </c>
      <c r="P283" s="77" t="str">
        <f t="shared" si="14"/>
        <v/>
      </c>
    </row>
    <row r="284" spans="2:16" s="61" customFormat="1" ht="34" customHeight="1" x14ac:dyDescent="0.2">
      <c r="B284" s="77" t="str">
        <f>IF('Step 2- Activity Inventory'!B287="","",'Step 2- Activity Inventory'!B287)</f>
        <v/>
      </c>
      <c r="C284" s="77" t="str">
        <f>IF('Step 2- Activity Inventory'!C287="","",'Step 2- Activity Inventory'!C287)</f>
        <v/>
      </c>
      <c r="D284" s="88" t="str">
        <f>IF('Step 2- Activity Inventory'!E287="","",'Step 2- Activity Inventory'!E287)</f>
        <v/>
      </c>
      <c r="E284" s="88" t="str">
        <f>IF('Step 2- Activity Inventory'!F287="","",'Step 2- Activity Inventory'!F287)</f>
        <v/>
      </c>
      <c r="F284" s="88" t="str">
        <f>IF(E284="Genius","N/A",IF('Step 2- Activity Inventory'!G287="","",'Step 2- Activity Inventory'!G287))</f>
        <v/>
      </c>
      <c r="G284" s="89" t="str">
        <f>IF('Step 2- Activity Inventory'!D287="","",'Step 2- Activity Inventory'!D287)</f>
        <v/>
      </c>
      <c r="H284" s="90"/>
      <c r="I284" s="24"/>
      <c r="J284" s="24"/>
      <c r="K284" s="91"/>
      <c r="L284" s="92" t="str">
        <f>IF(OR('Step 2- Activity Inventory'!O287=6,AND('Step 2- Activity Inventory'!O287=5,E284="Genius")),'Step 1- Hrly Rate Calc'!$D$18,"")</f>
        <v/>
      </c>
      <c r="M284" s="93" t="str">
        <f t="shared" si="12"/>
        <v/>
      </c>
      <c r="N284" s="93" t="str">
        <f>IF(L284="","",IF(IFERROR((G284/60)*M284*2*'Step 1- Hrly Rate Calc'!$D$14,"")&lt;0,"N/A",IFERROR((G284/60)*M284*2*'Step 1- Hrly Rate Calc'!$D$14,"")))</f>
        <v/>
      </c>
      <c r="O284" s="77" t="str">
        <f t="shared" si="13"/>
        <v/>
      </c>
      <c r="P284" s="77" t="str">
        <f t="shared" si="14"/>
        <v/>
      </c>
    </row>
    <row r="285" spans="2:16" s="61" customFormat="1" ht="34" customHeight="1" x14ac:dyDescent="0.2">
      <c r="B285" s="77" t="str">
        <f>IF('Step 2- Activity Inventory'!B288="","",'Step 2- Activity Inventory'!B288)</f>
        <v/>
      </c>
      <c r="C285" s="77" t="str">
        <f>IF('Step 2- Activity Inventory'!C288="","",'Step 2- Activity Inventory'!C288)</f>
        <v/>
      </c>
      <c r="D285" s="88" t="str">
        <f>IF('Step 2- Activity Inventory'!E288="","",'Step 2- Activity Inventory'!E288)</f>
        <v/>
      </c>
      <c r="E285" s="88" t="str">
        <f>IF('Step 2- Activity Inventory'!F288="","",'Step 2- Activity Inventory'!F288)</f>
        <v/>
      </c>
      <c r="F285" s="88" t="str">
        <f>IF(E285="Genius","N/A",IF('Step 2- Activity Inventory'!G288="","",'Step 2- Activity Inventory'!G288))</f>
        <v/>
      </c>
      <c r="G285" s="89" t="str">
        <f>IF('Step 2- Activity Inventory'!D288="","",'Step 2- Activity Inventory'!D288)</f>
        <v/>
      </c>
      <c r="H285" s="90"/>
      <c r="I285" s="24"/>
      <c r="J285" s="24"/>
      <c r="K285" s="91"/>
      <c r="L285" s="92" t="str">
        <f>IF(OR('Step 2- Activity Inventory'!O288=6,AND('Step 2- Activity Inventory'!O288=5,E285="Genius")),'Step 1- Hrly Rate Calc'!$D$18,"")</f>
        <v/>
      </c>
      <c r="M285" s="93" t="str">
        <f t="shared" si="12"/>
        <v/>
      </c>
      <c r="N285" s="93" t="str">
        <f>IF(L285="","",IF(IFERROR((G285/60)*M285*2*'Step 1- Hrly Rate Calc'!$D$14,"")&lt;0,"N/A",IFERROR((G285/60)*M285*2*'Step 1- Hrly Rate Calc'!$D$14,"")))</f>
        <v/>
      </c>
      <c r="O285" s="77" t="str">
        <f t="shared" si="13"/>
        <v/>
      </c>
      <c r="P285" s="77" t="str">
        <f t="shared" si="14"/>
        <v/>
      </c>
    </row>
    <row r="286" spans="2:16" s="61" customFormat="1" ht="34" customHeight="1" x14ac:dyDescent="0.2">
      <c r="B286" s="77" t="str">
        <f>IF('Step 2- Activity Inventory'!B289="","",'Step 2- Activity Inventory'!B289)</f>
        <v/>
      </c>
      <c r="C286" s="77" t="str">
        <f>IF('Step 2- Activity Inventory'!C289="","",'Step 2- Activity Inventory'!C289)</f>
        <v/>
      </c>
      <c r="D286" s="88" t="str">
        <f>IF('Step 2- Activity Inventory'!E289="","",'Step 2- Activity Inventory'!E289)</f>
        <v/>
      </c>
      <c r="E286" s="88" t="str">
        <f>IF('Step 2- Activity Inventory'!F289="","",'Step 2- Activity Inventory'!F289)</f>
        <v/>
      </c>
      <c r="F286" s="88" t="str">
        <f>IF(E286="Genius","N/A",IF('Step 2- Activity Inventory'!G289="","",'Step 2- Activity Inventory'!G289))</f>
        <v/>
      </c>
      <c r="G286" s="89" t="str">
        <f>IF('Step 2- Activity Inventory'!D289="","",'Step 2- Activity Inventory'!D289)</f>
        <v/>
      </c>
      <c r="H286" s="90"/>
      <c r="I286" s="24"/>
      <c r="J286" s="24"/>
      <c r="K286" s="91"/>
      <c r="L286" s="92" t="str">
        <f>IF(OR('Step 2- Activity Inventory'!O289=6,AND('Step 2- Activity Inventory'!O289=5,E286="Genius")),'Step 1- Hrly Rate Calc'!$D$18,"")</f>
        <v/>
      </c>
      <c r="M286" s="93" t="str">
        <f t="shared" si="12"/>
        <v/>
      </c>
      <c r="N286" s="93" t="str">
        <f>IF(L286="","",IF(IFERROR((G286/60)*M286*2*'Step 1- Hrly Rate Calc'!$D$14,"")&lt;0,"N/A",IFERROR((G286/60)*M286*2*'Step 1- Hrly Rate Calc'!$D$14,"")))</f>
        <v/>
      </c>
      <c r="O286" s="77" t="str">
        <f t="shared" si="13"/>
        <v/>
      </c>
      <c r="P286" s="77" t="str">
        <f t="shared" si="14"/>
        <v/>
      </c>
    </row>
    <row r="287" spans="2:16" s="61" customFormat="1" ht="34" customHeight="1" x14ac:dyDescent="0.2">
      <c r="B287" s="77" t="str">
        <f>IF('Step 2- Activity Inventory'!B290="","",'Step 2- Activity Inventory'!B290)</f>
        <v/>
      </c>
      <c r="C287" s="77" t="str">
        <f>IF('Step 2- Activity Inventory'!C290="","",'Step 2- Activity Inventory'!C290)</f>
        <v/>
      </c>
      <c r="D287" s="88" t="str">
        <f>IF('Step 2- Activity Inventory'!E290="","",'Step 2- Activity Inventory'!E290)</f>
        <v/>
      </c>
      <c r="E287" s="88" t="str">
        <f>IF('Step 2- Activity Inventory'!F290="","",'Step 2- Activity Inventory'!F290)</f>
        <v/>
      </c>
      <c r="F287" s="88" t="str">
        <f>IF(E287="Genius","N/A",IF('Step 2- Activity Inventory'!G290="","",'Step 2- Activity Inventory'!G290))</f>
        <v/>
      </c>
      <c r="G287" s="89" t="str">
        <f>IF('Step 2- Activity Inventory'!D290="","",'Step 2- Activity Inventory'!D290)</f>
        <v/>
      </c>
      <c r="H287" s="90"/>
      <c r="I287" s="24"/>
      <c r="J287" s="24"/>
      <c r="K287" s="91"/>
      <c r="L287" s="92" t="str">
        <f>IF(OR('Step 2- Activity Inventory'!O290=6,AND('Step 2- Activity Inventory'!O290=5,E287="Genius")),'Step 1- Hrly Rate Calc'!$D$18,"")</f>
        <v/>
      </c>
      <c r="M287" s="93" t="str">
        <f t="shared" si="12"/>
        <v/>
      </c>
      <c r="N287" s="93" t="str">
        <f>IF(L287="","",IF(IFERROR((G287/60)*M287*2*'Step 1- Hrly Rate Calc'!$D$14,"")&lt;0,"N/A",IFERROR((G287/60)*M287*2*'Step 1- Hrly Rate Calc'!$D$14,"")))</f>
        <v/>
      </c>
      <c r="O287" s="77" t="str">
        <f t="shared" si="13"/>
        <v/>
      </c>
      <c r="P287" s="77" t="str">
        <f t="shared" si="14"/>
        <v/>
      </c>
    </row>
    <row r="288" spans="2:16" s="61" customFormat="1" ht="34" customHeight="1" x14ac:dyDescent="0.2">
      <c r="B288" s="77" t="str">
        <f>IF('Step 2- Activity Inventory'!B291="","",'Step 2- Activity Inventory'!B291)</f>
        <v/>
      </c>
      <c r="C288" s="77" t="str">
        <f>IF('Step 2- Activity Inventory'!C291="","",'Step 2- Activity Inventory'!C291)</f>
        <v/>
      </c>
      <c r="D288" s="88" t="str">
        <f>IF('Step 2- Activity Inventory'!E291="","",'Step 2- Activity Inventory'!E291)</f>
        <v/>
      </c>
      <c r="E288" s="88" t="str">
        <f>IF('Step 2- Activity Inventory'!F291="","",'Step 2- Activity Inventory'!F291)</f>
        <v/>
      </c>
      <c r="F288" s="88" t="str">
        <f>IF(E288="Genius","N/A",IF('Step 2- Activity Inventory'!G291="","",'Step 2- Activity Inventory'!G291))</f>
        <v/>
      </c>
      <c r="G288" s="89" t="str">
        <f>IF('Step 2- Activity Inventory'!D291="","",'Step 2- Activity Inventory'!D291)</f>
        <v/>
      </c>
      <c r="H288" s="90"/>
      <c r="I288" s="24"/>
      <c r="J288" s="24"/>
      <c r="K288" s="91"/>
      <c r="L288" s="92" t="str">
        <f>IF(OR('Step 2- Activity Inventory'!O291=6,AND('Step 2- Activity Inventory'!O291=5,E288="Genius")),'Step 1- Hrly Rate Calc'!$D$18,"")</f>
        <v/>
      </c>
      <c r="M288" s="93" t="str">
        <f t="shared" si="12"/>
        <v/>
      </c>
      <c r="N288" s="93" t="str">
        <f>IF(L288="","",IF(IFERROR((G288/60)*M288*2*'Step 1- Hrly Rate Calc'!$D$14,"")&lt;0,"N/A",IFERROR((G288/60)*M288*2*'Step 1- Hrly Rate Calc'!$D$14,"")))</f>
        <v/>
      </c>
      <c r="O288" s="77" t="str">
        <f t="shared" si="13"/>
        <v/>
      </c>
      <c r="P288" s="77" t="str">
        <f t="shared" si="14"/>
        <v/>
      </c>
    </row>
    <row r="289" spans="2:16" s="61" customFormat="1" ht="34" customHeight="1" x14ac:dyDescent="0.2">
      <c r="B289" s="77" t="str">
        <f>IF('Step 2- Activity Inventory'!B292="","",'Step 2- Activity Inventory'!B292)</f>
        <v/>
      </c>
      <c r="C289" s="77" t="str">
        <f>IF('Step 2- Activity Inventory'!C292="","",'Step 2- Activity Inventory'!C292)</f>
        <v/>
      </c>
      <c r="D289" s="88" t="str">
        <f>IF('Step 2- Activity Inventory'!E292="","",'Step 2- Activity Inventory'!E292)</f>
        <v/>
      </c>
      <c r="E289" s="88" t="str">
        <f>IF('Step 2- Activity Inventory'!F292="","",'Step 2- Activity Inventory'!F292)</f>
        <v/>
      </c>
      <c r="F289" s="88" t="str">
        <f>IF(E289="Genius","N/A",IF('Step 2- Activity Inventory'!G292="","",'Step 2- Activity Inventory'!G292))</f>
        <v/>
      </c>
      <c r="G289" s="89" t="str">
        <f>IF('Step 2- Activity Inventory'!D292="","",'Step 2- Activity Inventory'!D292)</f>
        <v/>
      </c>
      <c r="H289" s="90"/>
      <c r="I289" s="24"/>
      <c r="J289" s="24"/>
      <c r="K289" s="91"/>
      <c r="L289" s="92" t="str">
        <f>IF(OR('Step 2- Activity Inventory'!O292=6,AND('Step 2- Activity Inventory'!O292=5,E289="Genius")),'Step 1- Hrly Rate Calc'!$D$18,"")</f>
        <v/>
      </c>
      <c r="M289" s="93" t="str">
        <f t="shared" si="12"/>
        <v/>
      </c>
      <c r="N289" s="93" t="str">
        <f>IF(L289="","",IF(IFERROR((G289/60)*M289*2*'Step 1- Hrly Rate Calc'!$D$14,"")&lt;0,"N/A",IFERROR((G289/60)*M289*2*'Step 1- Hrly Rate Calc'!$D$14,"")))</f>
        <v/>
      </c>
      <c r="O289" s="77" t="str">
        <f t="shared" si="13"/>
        <v/>
      </c>
      <c r="P289" s="77" t="str">
        <f t="shared" si="14"/>
        <v/>
      </c>
    </row>
    <row r="290" spans="2:16" s="61" customFormat="1" ht="34" customHeight="1" x14ac:dyDescent="0.2">
      <c r="B290" s="77" t="str">
        <f>IF('Step 2- Activity Inventory'!B293="","",'Step 2- Activity Inventory'!B293)</f>
        <v/>
      </c>
      <c r="C290" s="77" t="str">
        <f>IF('Step 2- Activity Inventory'!C293="","",'Step 2- Activity Inventory'!C293)</f>
        <v/>
      </c>
      <c r="D290" s="88" t="str">
        <f>IF('Step 2- Activity Inventory'!E293="","",'Step 2- Activity Inventory'!E293)</f>
        <v/>
      </c>
      <c r="E290" s="88" t="str">
        <f>IF('Step 2- Activity Inventory'!F293="","",'Step 2- Activity Inventory'!F293)</f>
        <v/>
      </c>
      <c r="F290" s="88" t="str">
        <f>IF(E290="Genius","N/A",IF('Step 2- Activity Inventory'!G293="","",'Step 2- Activity Inventory'!G293))</f>
        <v/>
      </c>
      <c r="G290" s="89" t="str">
        <f>IF('Step 2- Activity Inventory'!D293="","",'Step 2- Activity Inventory'!D293)</f>
        <v/>
      </c>
      <c r="H290" s="90"/>
      <c r="I290" s="24"/>
      <c r="J290" s="24"/>
      <c r="K290" s="91"/>
      <c r="L290" s="92" t="str">
        <f>IF(OR('Step 2- Activity Inventory'!O293=6,AND('Step 2- Activity Inventory'!O293=5,E290="Genius")),'Step 1- Hrly Rate Calc'!$D$18,"")</f>
        <v/>
      </c>
      <c r="M290" s="93" t="str">
        <f t="shared" si="12"/>
        <v/>
      </c>
      <c r="N290" s="93" t="str">
        <f>IF(L290="","",IF(IFERROR((G290/60)*M290*2*'Step 1- Hrly Rate Calc'!$D$14,"")&lt;0,"N/A",IFERROR((G290/60)*M290*2*'Step 1- Hrly Rate Calc'!$D$14,"")))</f>
        <v/>
      </c>
      <c r="O290" s="77" t="str">
        <f t="shared" si="13"/>
        <v/>
      </c>
      <c r="P290" s="77" t="str">
        <f t="shared" si="14"/>
        <v/>
      </c>
    </row>
    <row r="291" spans="2:16" s="61" customFormat="1" ht="34" customHeight="1" x14ac:dyDescent="0.2">
      <c r="B291" s="77" t="str">
        <f>IF('Step 2- Activity Inventory'!B294="","",'Step 2- Activity Inventory'!B294)</f>
        <v/>
      </c>
      <c r="C291" s="77" t="str">
        <f>IF('Step 2- Activity Inventory'!C294="","",'Step 2- Activity Inventory'!C294)</f>
        <v/>
      </c>
      <c r="D291" s="88" t="str">
        <f>IF('Step 2- Activity Inventory'!E294="","",'Step 2- Activity Inventory'!E294)</f>
        <v/>
      </c>
      <c r="E291" s="88" t="str">
        <f>IF('Step 2- Activity Inventory'!F294="","",'Step 2- Activity Inventory'!F294)</f>
        <v/>
      </c>
      <c r="F291" s="88" t="str">
        <f>IF(E291="Genius","N/A",IF('Step 2- Activity Inventory'!G294="","",'Step 2- Activity Inventory'!G294))</f>
        <v/>
      </c>
      <c r="G291" s="89" t="str">
        <f>IF('Step 2- Activity Inventory'!D294="","",'Step 2- Activity Inventory'!D294)</f>
        <v/>
      </c>
      <c r="H291" s="90"/>
      <c r="I291" s="24"/>
      <c r="J291" s="24"/>
      <c r="K291" s="91"/>
      <c r="L291" s="92" t="str">
        <f>IF(OR('Step 2- Activity Inventory'!O294=6,AND('Step 2- Activity Inventory'!O294=5,E291="Genius")),'Step 1- Hrly Rate Calc'!$D$18,"")</f>
        <v/>
      </c>
      <c r="M291" s="93" t="str">
        <f t="shared" si="12"/>
        <v/>
      </c>
      <c r="N291" s="93" t="str">
        <f>IF(L291="","",IF(IFERROR((G291/60)*M291*2*'Step 1- Hrly Rate Calc'!$D$14,"")&lt;0,"N/A",IFERROR((G291/60)*M291*2*'Step 1- Hrly Rate Calc'!$D$14,"")))</f>
        <v/>
      </c>
      <c r="O291" s="77" t="str">
        <f t="shared" si="13"/>
        <v/>
      </c>
      <c r="P291" s="77" t="str">
        <f t="shared" si="14"/>
        <v/>
      </c>
    </row>
    <row r="292" spans="2:16" s="61" customFormat="1" ht="34" customHeight="1" x14ac:dyDescent="0.2">
      <c r="B292" s="77" t="str">
        <f>IF('Step 2- Activity Inventory'!B295="","",'Step 2- Activity Inventory'!B295)</f>
        <v/>
      </c>
      <c r="C292" s="77" t="str">
        <f>IF('Step 2- Activity Inventory'!C295="","",'Step 2- Activity Inventory'!C295)</f>
        <v/>
      </c>
      <c r="D292" s="88" t="str">
        <f>IF('Step 2- Activity Inventory'!E295="","",'Step 2- Activity Inventory'!E295)</f>
        <v/>
      </c>
      <c r="E292" s="88" t="str">
        <f>IF('Step 2- Activity Inventory'!F295="","",'Step 2- Activity Inventory'!F295)</f>
        <v/>
      </c>
      <c r="F292" s="88" t="str">
        <f>IF(E292="Genius","N/A",IF('Step 2- Activity Inventory'!G295="","",'Step 2- Activity Inventory'!G295))</f>
        <v/>
      </c>
      <c r="G292" s="89" t="str">
        <f>IF('Step 2- Activity Inventory'!D295="","",'Step 2- Activity Inventory'!D295)</f>
        <v/>
      </c>
      <c r="H292" s="90"/>
      <c r="I292" s="24"/>
      <c r="J292" s="24"/>
      <c r="K292" s="91"/>
      <c r="L292" s="92" t="str">
        <f>IF(OR('Step 2- Activity Inventory'!O295=6,AND('Step 2- Activity Inventory'!O295=5,E292="Genius")),'Step 1- Hrly Rate Calc'!$D$18,"")</f>
        <v/>
      </c>
      <c r="M292" s="93" t="str">
        <f t="shared" si="12"/>
        <v/>
      </c>
      <c r="N292" s="93" t="str">
        <f>IF(L292="","",IF(IFERROR((G292/60)*M292*2*'Step 1- Hrly Rate Calc'!$D$14,"")&lt;0,"N/A",IFERROR((G292/60)*M292*2*'Step 1- Hrly Rate Calc'!$D$14,"")))</f>
        <v/>
      </c>
      <c r="O292" s="77" t="str">
        <f t="shared" si="13"/>
        <v/>
      </c>
      <c r="P292" s="77" t="str">
        <f t="shared" si="14"/>
        <v/>
      </c>
    </row>
    <row r="293" spans="2:16" s="61" customFormat="1" ht="34" customHeight="1" x14ac:dyDescent="0.2">
      <c r="B293" s="77" t="str">
        <f>IF('Step 2- Activity Inventory'!B296="","",'Step 2- Activity Inventory'!B296)</f>
        <v/>
      </c>
      <c r="C293" s="77" t="str">
        <f>IF('Step 2- Activity Inventory'!C296="","",'Step 2- Activity Inventory'!C296)</f>
        <v/>
      </c>
      <c r="D293" s="88" t="str">
        <f>IF('Step 2- Activity Inventory'!E296="","",'Step 2- Activity Inventory'!E296)</f>
        <v/>
      </c>
      <c r="E293" s="88" t="str">
        <f>IF('Step 2- Activity Inventory'!F296="","",'Step 2- Activity Inventory'!F296)</f>
        <v/>
      </c>
      <c r="F293" s="88" t="str">
        <f>IF(E293="Genius","N/A",IF('Step 2- Activity Inventory'!G296="","",'Step 2- Activity Inventory'!G296))</f>
        <v/>
      </c>
      <c r="G293" s="89" t="str">
        <f>IF('Step 2- Activity Inventory'!D296="","",'Step 2- Activity Inventory'!D296)</f>
        <v/>
      </c>
      <c r="H293" s="90"/>
      <c r="I293" s="24"/>
      <c r="J293" s="24"/>
      <c r="K293" s="91"/>
      <c r="L293" s="92" t="str">
        <f>IF(OR('Step 2- Activity Inventory'!O296=6,AND('Step 2- Activity Inventory'!O296=5,E293="Genius")),'Step 1- Hrly Rate Calc'!$D$18,"")</f>
        <v/>
      </c>
      <c r="M293" s="93" t="str">
        <f t="shared" si="12"/>
        <v/>
      </c>
      <c r="N293" s="93" t="str">
        <f>IF(L293="","",IF(IFERROR((G293/60)*M293*2*'Step 1- Hrly Rate Calc'!$D$14,"")&lt;0,"N/A",IFERROR((G293/60)*M293*2*'Step 1- Hrly Rate Calc'!$D$14,"")))</f>
        <v/>
      </c>
      <c r="O293" s="77" t="str">
        <f t="shared" si="13"/>
        <v/>
      </c>
      <c r="P293" s="77" t="str">
        <f t="shared" si="14"/>
        <v/>
      </c>
    </row>
    <row r="294" spans="2:16" s="61" customFormat="1" ht="34" customHeight="1" x14ac:dyDescent="0.2">
      <c r="B294" s="77" t="str">
        <f>IF('Step 2- Activity Inventory'!B297="","",'Step 2- Activity Inventory'!B297)</f>
        <v/>
      </c>
      <c r="C294" s="77" t="str">
        <f>IF('Step 2- Activity Inventory'!C297="","",'Step 2- Activity Inventory'!C297)</f>
        <v/>
      </c>
      <c r="D294" s="88" t="str">
        <f>IF('Step 2- Activity Inventory'!E297="","",'Step 2- Activity Inventory'!E297)</f>
        <v/>
      </c>
      <c r="E294" s="88" t="str">
        <f>IF('Step 2- Activity Inventory'!F297="","",'Step 2- Activity Inventory'!F297)</f>
        <v/>
      </c>
      <c r="F294" s="88" t="str">
        <f>IF(E294="Genius","N/A",IF('Step 2- Activity Inventory'!G297="","",'Step 2- Activity Inventory'!G297))</f>
        <v/>
      </c>
      <c r="G294" s="89" t="str">
        <f>IF('Step 2- Activity Inventory'!D297="","",'Step 2- Activity Inventory'!D297)</f>
        <v/>
      </c>
      <c r="H294" s="90"/>
      <c r="I294" s="24"/>
      <c r="J294" s="24"/>
      <c r="K294" s="91"/>
      <c r="L294" s="92" t="str">
        <f>IF(OR('Step 2- Activity Inventory'!O297=6,AND('Step 2- Activity Inventory'!O297=5,E294="Genius")),'Step 1- Hrly Rate Calc'!$D$18,"")</f>
        <v/>
      </c>
      <c r="M294" s="93" t="str">
        <f t="shared" si="12"/>
        <v/>
      </c>
      <c r="N294" s="93" t="str">
        <f>IF(L294="","",IF(IFERROR((G294/60)*M294*2*'Step 1- Hrly Rate Calc'!$D$14,"")&lt;0,"N/A",IFERROR((G294/60)*M294*2*'Step 1- Hrly Rate Calc'!$D$14,"")))</f>
        <v/>
      </c>
      <c r="O294" s="77" t="str">
        <f t="shared" si="13"/>
        <v/>
      </c>
      <c r="P294" s="77" t="str">
        <f t="shared" si="14"/>
        <v/>
      </c>
    </row>
    <row r="295" spans="2:16" s="61" customFormat="1" ht="34" customHeight="1" x14ac:dyDescent="0.2">
      <c r="B295" s="77" t="str">
        <f>IF('Step 2- Activity Inventory'!B298="","",'Step 2- Activity Inventory'!B298)</f>
        <v/>
      </c>
      <c r="C295" s="77" t="str">
        <f>IF('Step 2- Activity Inventory'!C298="","",'Step 2- Activity Inventory'!C298)</f>
        <v/>
      </c>
      <c r="D295" s="88" t="str">
        <f>IF('Step 2- Activity Inventory'!E298="","",'Step 2- Activity Inventory'!E298)</f>
        <v/>
      </c>
      <c r="E295" s="88" t="str">
        <f>IF('Step 2- Activity Inventory'!F298="","",'Step 2- Activity Inventory'!F298)</f>
        <v/>
      </c>
      <c r="F295" s="88" t="str">
        <f>IF(E295="Genius","N/A",IF('Step 2- Activity Inventory'!G298="","",'Step 2- Activity Inventory'!G298))</f>
        <v/>
      </c>
      <c r="G295" s="89" t="str">
        <f>IF('Step 2- Activity Inventory'!D298="","",'Step 2- Activity Inventory'!D298)</f>
        <v/>
      </c>
      <c r="H295" s="90"/>
      <c r="I295" s="24"/>
      <c r="J295" s="24"/>
      <c r="K295" s="91"/>
      <c r="L295" s="92" t="str">
        <f>IF(OR('Step 2- Activity Inventory'!O298=6,AND('Step 2- Activity Inventory'!O298=5,E295="Genius")),'Step 1- Hrly Rate Calc'!$D$18,"")</f>
        <v/>
      </c>
      <c r="M295" s="93" t="str">
        <f t="shared" si="12"/>
        <v/>
      </c>
      <c r="N295" s="93" t="str">
        <f>IF(L295="","",IF(IFERROR((G295/60)*M295*2*'Step 1- Hrly Rate Calc'!$D$14,"")&lt;0,"N/A",IFERROR((G295/60)*M295*2*'Step 1- Hrly Rate Calc'!$D$14,"")))</f>
        <v/>
      </c>
      <c r="O295" s="77" t="str">
        <f t="shared" si="13"/>
        <v/>
      </c>
      <c r="P295" s="77" t="str">
        <f t="shared" si="14"/>
        <v/>
      </c>
    </row>
    <row r="296" spans="2:16" s="61" customFormat="1" ht="34" customHeight="1" x14ac:dyDescent="0.2">
      <c r="B296" s="77" t="str">
        <f>IF('Step 2- Activity Inventory'!B299="","",'Step 2- Activity Inventory'!B299)</f>
        <v/>
      </c>
      <c r="C296" s="77" t="str">
        <f>IF('Step 2- Activity Inventory'!C299="","",'Step 2- Activity Inventory'!C299)</f>
        <v/>
      </c>
      <c r="D296" s="88" t="str">
        <f>IF('Step 2- Activity Inventory'!E299="","",'Step 2- Activity Inventory'!E299)</f>
        <v/>
      </c>
      <c r="E296" s="88" t="str">
        <f>IF('Step 2- Activity Inventory'!F299="","",'Step 2- Activity Inventory'!F299)</f>
        <v/>
      </c>
      <c r="F296" s="88" t="str">
        <f>IF(E296="Genius","N/A",IF('Step 2- Activity Inventory'!G299="","",'Step 2- Activity Inventory'!G299))</f>
        <v/>
      </c>
      <c r="G296" s="89" t="str">
        <f>IF('Step 2- Activity Inventory'!D299="","",'Step 2- Activity Inventory'!D299)</f>
        <v/>
      </c>
      <c r="H296" s="90"/>
      <c r="I296" s="24"/>
      <c r="J296" s="24"/>
      <c r="K296" s="91"/>
      <c r="L296" s="92" t="str">
        <f>IF(OR('Step 2- Activity Inventory'!O299=6,AND('Step 2- Activity Inventory'!O299=5,E296="Genius")),'Step 1- Hrly Rate Calc'!$D$18,"")</f>
        <v/>
      </c>
      <c r="M296" s="93" t="str">
        <f t="shared" si="12"/>
        <v/>
      </c>
      <c r="N296" s="93" t="str">
        <f>IF(L296="","",IF(IFERROR((G296/60)*M296*2*'Step 1- Hrly Rate Calc'!$D$14,"")&lt;0,"N/A",IFERROR((G296/60)*M296*2*'Step 1- Hrly Rate Calc'!$D$14,"")))</f>
        <v/>
      </c>
      <c r="O296" s="77" t="str">
        <f t="shared" si="13"/>
        <v/>
      </c>
      <c r="P296" s="77" t="str">
        <f t="shared" si="14"/>
        <v/>
      </c>
    </row>
    <row r="297" spans="2:16" s="61" customFormat="1" ht="34" customHeight="1" x14ac:dyDescent="0.2">
      <c r="B297" s="77" t="str">
        <f>IF('Step 2- Activity Inventory'!B300="","",'Step 2- Activity Inventory'!B300)</f>
        <v/>
      </c>
      <c r="C297" s="77" t="str">
        <f>IF('Step 2- Activity Inventory'!C300="","",'Step 2- Activity Inventory'!C300)</f>
        <v/>
      </c>
      <c r="D297" s="88" t="str">
        <f>IF('Step 2- Activity Inventory'!E300="","",'Step 2- Activity Inventory'!E300)</f>
        <v/>
      </c>
      <c r="E297" s="88" t="str">
        <f>IF('Step 2- Activity Inventory'!F300="","",'Step 2- Activity Inventory'!F300)</f>
        <v/>
      </c>
      <c r="F297" s="88" t="str">
        <f>IF(E297="Genius","N/A",IF('Step 2- Activity Inventory'!G300="","",'Step 2- Activity Inventory'!G300))</f>
        <v/>
      </c>
      <c r="G297" s="89" t="str">
        <f>IF('Step 2- Activity Inventory'!D300="","",'Step 2- Activity Inventory'!D300)</f>
        <v/>
      </c>
      <c r="H297" s="90"/>
      <c r="I297" s="24"/>
      <c r="J297" s="24"/>
      <c r="K297" s="91"/>
      <c r="L297" s="92" t="str">
        <f>IF(OR('Step 2- Activity Inventory'!O300=6,AND('Step 2- Activity Inventory'!O300=5,E297="Genius")),'Step 1- Hrly Rate Calc'!$D$18,"")</f>
        <v/>
      </c>
      <c r="M297" s="93" t="str">
        <f t="shared" si="12"/>
        <v/>
      </c>
      <c r="N297" s="93" t="str">
        <f>IF(L297="","",IF(IFERROR((G297/60)*M297*2*'Step 1- Hrly Rate Calc'!$D$14,"")&lt;0,"N/A",IFERROR((G297/60)*M297*2*'Step 1- Hrly Rate Calc'!$D$14,"")))</f>
        <v/>
      </c>
      <c r="O297" s="77" t="str">
        <f t="shared" si="13"/>
        <v/>
      </c>
      <c r="P297" s="77" t="str">
        <f t="shared" si="14"/>
        <v/>
      </c>
    </row>
    <row r="298" spans="2:16" s="61" customFormat="1" ht="34" customHeight="1" x14ac:dyDescent="0.2">
      <c r="B298" s="77" t="str">
        <f>IF('Step 2- Activity Inventory'!B301="","",'Step 2- Activity Inventory'!B301)</f>
        <v/>
      </c>
      <c r="C298" s="77" t="str">
        <f>IF('Step 2- Activity Inventory'!C301="","",'Step 2- Activity Inventory'!C301)</f>
        <v/>
      </c>
      <c r="D298" s="88" t="str">
        <f>IF('Step 2- Activity Inventory'!E301="","",'Step 2- Activity Inventory'!E301)</f>
        <v/>
      </c>
      <c r="E298" s="88" t="str">
        <f>IF('Step 2- Activity Inventory'!F301="","",'Step 2- Activity Inventory'!F301)</f>
        <v/>
      </c>
      <c r="F298" s="88" t="str">
        <f>IF(E298="Genius","N/A",IF('Step 2- Activity Inventory'!G301="","",'Step 2- Activity Inventory'!G301))</f>
        <v/>
      </c>
      <c r="G298" s="89" t="str">
        <f>IF('Step 2- Activity Inventory'!D301="","",'Step 2- Activity Inventory'!D301)</f>
        <v/>
      </c>
      <c r="H298" s="90"/>
      <c r="I298" s="24"/>
      <c r="J298" s="24"/>
      <c r="K298" s="91"/>
      <c r="L298" s="92" t="str">
        <f>IF(OR('Step 2- Activity Inventory'!O301=6,AND('Step 2- Activity Inventory'!O301=5,E298="Genius")),'Step 1- Hrly Rate Calc'!$D$18,"")</f>
        <v/>
      </c>
      <c r="M298" s="93" t="str">
        <f t="shared" si="12"/>
        <v/>
      </c>
      <c r="N298" s="93" t="str">
        <f>IF(L298="","",IF(IFERROR((G298/60)*M298*2*'Step 1- Hrly Rate Calc'!$D$14,"")&lt;0,"N/A",IFERROR((G298/60)*M298*2*'Step 1- Hrly Rate Calc'!$D$14,"")))</f>
        <v/>
      </c>
      <c r="O298" s="77" t="str">
        <f t="shared" si="13"/>
        <v/>
      </c>
      <c r="P298" s="77" t="str">
        <f t="shared" si="14"/>
        <v/>
      </c>
    </row>
    <row r="299" spans="2:16" s="61" customFormat="1" ht="34" customHeight="1" x14ac:dyDescent="0.2">
      <c r="B299" s="77" t="str">
        <f>IF('Step 2- Activity Inventory'!B302="","",'Step 2- Activity Inventory'!B302)</f>
        <v/>
      </c>
      <c r="C299" s="77" t="str">
        <f>IF('Step 2- Activity Inventory'!C302="","",'Step 2- Activity Inventory'!C302)</f>
        <v/>
      </c>
      <c r="D299" s="88" t="str">
        <f>IF('Step 2- Activity Inventory'!E302="","",'Step 2- Activity Inventory'!E302)</f>
        <v/>
      </c>
      <c r="E299" s="88" t="str">
        <f>IF('Step 2- Activity Inventory'!F302="","",'Step 2- Activity Inventory'!F302)</f>
        <v/>
      </c>
      <c r="F299" s="88" t="str">
        <f>IF(E299="Genius","N/A",IF('Step 2- Activity Inventory'!G302="","",'Step 2- Activity Inventory'!G302))</f>
        <v/>
      </c>
      <c r="G299" s="89" t="str">
        <f>IF('Step 2- Activity Inventory'!D302="","",'Step 2- Activity Inventory'!D302)</f>
        <v/>
      </c>
      <c r="H299" s="90"/>
      <c r="I299" s="24"/>
      <c r="J299" s="24"/>
      <c r="K299" s="91"/>
      <c r="L299" s="92" t="str">
        <f>IF(OR('Step 2- Activity Inventory'!O302=6,AND('Step 2- Activity Inventory'!O302=5,E299="Genius")),'Step 1- Hrly Rate Calc'!$D$18,"")</f>
        <v/>
      </c>
      <c r="M299" s="93" t="str">
        <f t="shared" si="12"/>
        <v/>
      </c>
      <c r="N299" s="93" t="str">
        <f>IF(L299="","",IF(IFERROR((G299/60)*M299*2*'Step 1- Hrly Rate Calc'!$D$14,"")&lt;0,"N/A",IFERROR((G299/60)*M299*2*'Step 1- Hrly Rate Calc'!$D$14,"")))</f>
        <v/>
      </c>
      <c r="O299" s="77" t="str">
        <f t="shared" si="13"/>
        <v/>
      </c>
      <c r="P299" s="77" t="str">
        <f t="shared" si="14"/>
        <v/>
      </c>
    </row>
    <row r="300" spans="2:16" s="61" customFormat="1" ht="34" customHeight="1" x14ac:dyDescent="0.2">
      <c r="B300" s="77" t="str">
        <f>IF('Step 2- Activity Inventory'!B303="","",'Step 2- Activity Inventory'!B303)</f>
        <v/>
      </c>
      <c r="C300" s="77" t="str">
        <f>IF('Step 2- Activity Inventory'!C303="","",'Step 2- Activity Inventory'!C303)</f>
        <v/>
      </c>
      <c r="D300" s="88" t="str">
        <f>IF('Step 2- Activity Inventory'!E303="","",'Step 2- Activity Inventory'!E303)</f>
        <v/>
      </c>
      <c r="E300" s="88" t="str">
        <f>IF('Step 2- Activity Inventory'!F303="","",'Step 2- Activity Inventory'!F303)</f>
        <v/>
      </c>
      <c r="F300" s="88" t="str">
        <f>IF(E300="Genius","N/A",IF('Step 2- Activity Inventory'!G303="","",'Step 2- Activity Inventory'!G303))</f>
        <v/>
      </c>
      <c r="G300" s="89" t="str">
        <f>IF('Step 2- Activity Inventory'!D303="","",'Step 2- Activity Inventory'!D303)</f>
        <v/>
      </c>
      <c r="H300" s="90"/>
      <c r="I300" s="24"/>
      <c r="J300" s="24"/>
      <c r="K300" s="91"/>
      <c r="L300" s="92" t="str">
        <f>IF(OR('Step 2- Activity Inventory'!O303=6,AND('Step 2- Activity Inventory'!O303=5,E300="Genius")),'Step 1- Hrly Rate Calc'!$D$18,"")</f>
        <v/>
      </c>
      <c r="M300" s="93" t="str">
        <f t="shared" si="12"/>
        <v/>
      </c>
      <c r="N300" s="93" t="str">
        <f>IF(L300="","",IF(IFERROR((G300/60)*M300*2*'Step 1- Hrly Rate Calc'!$D$14,"")&lt;0,"N/A",IFERROR((G300/60)*M300*2*'Step 1- Hrly Rate Calc'!$D$14,"")))</f>
        <v/>
      </c>
      <c r="O300" s="77" t="str">
        <f t="shared" si="13"/>
        <v/>
      </c>
      <c r="P300" s="77" t="str">
        <f t="shared" si="14"/>
        <v/>
      </c>
    </row>
    <row r="301" spans="2:16" s="61" customFormat="1" ht="34" customHeight="1" x14ac:dyDescent="0.2">
      <c r="B301" s="77" t="str">
        <f>IF('Step 2- Activity Inventory'!B304="","",'Step 2- Activity Inventory'!B304)</f>
        <v/>
      </c>
      <c r="C301" s="77" t="str">
        <f>IF('Step 2- Activity Inventory'!C304="","",'Step 2- Activity Inventory'!C304)</f>
        <v/>
      </c>
      <c r="D301" s="88" t="str">
        <f>IF('Step 2- Activity Inventory'!E304="","",'Step 2- Activity Inventory'!E304)</f>
        <v/>
      </c>
      <c r="E301" s="88" t="str">
        <f>IF('Step 2- Activity Inventory'!F304="","",'Step 2- Activity Inventory'!F304)</f>
        <v/>
      </c>
      <c r="F301" s="88" t="str">
        <f>IF(E301="Genius","N/A",IF('Step 2- Activity Inventory'!G304="","",'Step 2- Activity Inventory'!G304))</f>
        <v/>
      </c>
      <c r="G301" s="89" t="str">
        <f>IF('Step 2- Activity Inventory'!D304="","",'Step 2- Activity Inventory'!D304)</f>
        <v/>
      </c>
      <c r="H301" s="90"/>
      <c r="I301" s="24"/>
      <c r="J301" s="24"/>
      <c r="K301" s="91"/>
      <c r="L301" s="92" t="str">
        <f>IF(OR('Step 2- Activity Inventory'!O304=6,AND('Step 2- Activity Inventory'!O304=5,E301="Genius")),'Step 1- Hrly Rate Calc'!$D$18,"")</f>
        <v/>
      </c>
      <c r="M301" s="93" t="str">
        <f t="shared" si="12"/>
        <v/>
      </c>
      <c r="N301" s="93" t="str">
        <f>IF(L301="","",IF(IFERROR((G301/60)*M301*2*'Step 1- Hrly Rate Calc'!$D$14,"")&lt;0,"N/A",IFERROR((G301/60)*M301*2*'Step 1- Hrly Rate Calc'!$D$14,"")))</f>
        <v/>
      </c>
      <c r="O301" s="77" t="str">
        <f t="shared" si="13"/>
        <v/>
      </c>
      <c r="P301" s="77" t="str">
        <f t="shared" si="14"/>
        <v/>
      </c>
    </row>
    <row r="302" spans="2:16" s="61" customFormat="1" ht="34" customHeight="1" x14ac:dyDescent="0.2">
      <c r="B302" s="77" t="str">
        <f>IF('Step 2- Activity Inventory'!B305="","",'Step 2- Activity Inventory'!B305)</f>
        <v/>
      </c>
      <c r="C302" s="77" t="str">
        <f>IF('Step 2- Activity Inventory'!C305="","",'Step 2- Activity Inventory'!C305)</f>
        <v/>
      </c>
      <c r="D302" s="88" t="str">
        <f>IF('Step 2- Activity Inventory'!E305="","",'Step 2- Activity Inventory'!E305)</f>
        <v/>
      </c>
      <c r="E302" s="88" t="str">
        <f>IF('Step 2- Activity Inventory'!F305="","",'Step 2- Activity Inventory'!F305)</f>
        <v/>
      </c>
      <c r="F302" s="88" t="str">
        <f>IF(E302="Genius","N/A",IF('Step 2- Activity Inventory'!G305="","",'Step 2- Activity Inventory'!G305))</f>
        <v/>
      </c>
      <c r="G302" s="89" t="str">
        <f>IF('Step 2- Activity Inventory'!D305="","",'Step 2- Activity Inventory'!D305)</f>
        <v/>
      </c>
      <c r="H302" s="90"/>
      <c r="I302" s="24"/>
      <c r="J302" s="24"/>
      <c r="K302" s="91"/>
      <c r="L302" s="92" t="str">
        <f>IF(OR('Step 2- Activity Inventory'!O305=6,AND('Step 2- Activity Inventory'!O305=5,E302="Genius")),'Step 1- Hrly Rate Calc'!$D$18,"")</f>
        <v/>
      </c>
      <c r="M302" s="93" t="str">
        <f t="shared" si="12"/>
        <v/>
      </c>
      <c r="N302" s="93" t="str">
        <f>IF(L302="","",IF(IFERROR((G302/60)*M302*2*'Step 1- Hrly Rate Calc'!$D$14,"")&lt;0,"N/A",IFERROR((G302/60)*M302*2*'Step 1- Hrly Rate Calc'!$D$14,"")))</f>
        <v/>
      </c>
      <c r="O302" s="77" t="str">
        <f t="shared" si="13"/>
        <v/>
      </c>
      <c r="P302" s="77" t="str">
        <f t="shared" si="14"/>
        <v/>
      </c>
    </row>
    <row r="303" spans="2:16" s="61" customFormat="1" ht="34" customHeight="1" x14ac:dyDescent="0.2">
      <c r="B303" s="77" t="str">
        <f>IF('Step 2- Activity Inventory'!B306="","",'Step 2- Activity Inventory'!B306)</f>
        <v/>
      </c>
      <c r="C303" s="77" t="str">
        <f>IF('Step 2- Activity Inventory'!C306="","",'Step 2- Activity Inventory'!C306)</f>
        <v/>
      </c>
      <c r="D303" s="88" t="str">
        <f>IF('Step 2- Activity Inventory'!E306="","",'Step 2- Activity Inventory'!E306)</f>
        <v/>
      </c>
      <c r="E303" s="88" t="str">
        <f>IF('Step 2- Activity Inventory'!F306="","",'Step 2- Activity Inventory'!F306)</f>
        <v/>
      </c>
      <c r="F303" s="88" t="str">
        <f>IF(E303="Genius","N/A",IF('Step 2- Activity Inventory'!G306="","",'Step 2- Activity Inventory'!G306))</f>
        <v/>
      </c>
      <c r="G303" s="89" t="str">
        <f>IF('Step 2- Activity Inventory'!D306="","",'Step 2- Activity Inventory'!D306)</f>
        <v/>
      </c>
      <c r="H303" s="90"/>
      <c r="I303" s="24"/>
      <c r="J303" s="24"/>
      <c r="K303" s="91"/>
      <c r="L303" s="92" t="str">
        <f>IF(OR('Step 2- Activity Inventory'!O306=6,AND('Step 2- Activity Inventory'!O306=5,E303="Genius")),'Step 1- Hrly Rate Calc'!$D$18,"")</f>
        <v/>
      </c>
      <c r="M303" s="93" t="str">
        <f t="shared" si="12"/>
        <v/>
      </c>
      <c r="N303" s="93" t="str">
        <f>IF(L303="","",IF(IFERROR((G303/60)*M303*2*'Step 1- Hrly Rate Calc'!$D$14,"")&lt;0,"N/A",IFERROR((G303/60)*M303*2*'Step 1- Hrly Rate Calc'!$D$14,"")))</f>
        <v/>
      </c>
      <c r="O303" s="77" t="str">
        <f t="shared" si="13"/>
        <v/>
      </c>
      <c r="P303" s="77" t="str">
        <f t="shared" si="14"/>
        <v/>
      </c>
    </row>
    <row r="304" spans="2:16" s="61" customFormat="1" ht="34" customHeight="1" x14ac:dyDescent="0.2">
      <c r="B304" s="77" t="str">
        <f>IF('Step 2- Activity Inventory'!B307="","",'Step 2- Activity Inventory'!B307)</f>
        <v/>
      </c>
      <c r="C304" s="77" t="str">
        <f>IF('Step 2- Activity Inventory'!C307="","",'Step 2- Activity Inventory'!C307)</f>
        <v/>
      </c>
      <c r="D304" s="88" t="str">
        <f>IF('Step 2- Activity Inventory'!E307="","",'Step 2- Activity Inventory'!E307)</f>
        <v/>
      </c>
      <c r="E304" s="88" t="str">
        <f>IF('Step 2- Activity Inventory'!F307="","",'Step 2- Activity Inventory'!F307)</f>
        <v/>
      </c>
      <c r="F304" s="88" t="str">
        <f>IF(E304="Genius","N/A",IF('Step 2- Activity Inventory'!G307="","",'Step 2- Activity Inventory'!G307))</f>
        <v/>
      </c>
      <c r="G304" s="89" t="str">
        <f>IF('Step 2- Activity Inventory'!D307="","",'Step 2- Activity Inventory'!D307)</f>
        <v/>
      </c>
      <c r="H304" s="90"/>
      <c r="I304" s="24"/>
      <c r="J304" s="24"/>
      <c r="K304" s="91"/>
      <c r="L304" s="92" t="str">
        <f>IF(OR('Step 2- Activity Inventory'!O307=6,AND('Step 2- Activity Inventory'!O307=5,E304="Genius")),'Step 1- Hrly Rate Calc'!$D$18,"")</f>
        <v/>
      </c>
      <c r="M304" s="93" t="str">
        <f t="shared" si="12"/>
        <v/>
      </c>
      <c r="N304" s="93" t="str">
        <f>IF(L304="","",IF(IFERROR((G304/60)*M304*2*'Step 1- Hrly Rate Calc'!$D$14,"")&lt;0,"N/A",IFERROR((G304/60)*M304*2*'Step 1- Hrly Rate Calc'!$D$14,"")))</f>
        <v/>
      </c>
      <c r="O304" s="77" t="str">
        <f t="shared" si="13"/>
        <v/>
      </c>
      <c r="P304" s="77" t="str">
        <f t="shared" si="14"/>
        <v/>
      </c>
    </row>
    <row r="305" spans="2:16" s="61" customFormat="1" ht="34" customHeight="1" x14ac:dyDescent="0.2">
      <c r="B305" s="77" t="str">
        <f>IF('Step 2- Activity Inventory'!B308="","",'Step 2- Activity Inventory'!B308)</f>
        <v/>
      </c>
      <c r="C305" s="77" t="str">
        <f>IF('Step 2- Activity Inventory'!C308="","",'Step 2- Activity Inventory'!C308)</f>
        <v/>
      </c>
      <c r="D305" s="88" t="str">
        <f>IF('Step 2- Activity Inventory'!E308="","",'Step 2- Activity Inventory'!E308)</f>
        <v/>
      </c>
      <c r="E305" s="88" t="str">
        <f>IF('Step 2- Activity Inventory'!F308="","",'Step 2- Activity Inventory'!F308)</f>
        <v/>
      </c>
      <c r="F305" s="88" t="str">
        <f>IF(E305="Genius","N/A",IF('Step 2- Activity Inventory'!G308="","",'Step 2- Activity Inventory'!G308))</f>
        <v/>
      </c>
      <c r="G305" s="89" t="str">
        <f>IF('Step 2- Activity Inventory'!D308="","",'Step 2- Activity Inventory'!D308)</f>
        <v/>
      </c>
      <c r="H305" s="90"/>
      <c r="I305" s="24"/>
      <c r="J305" s="24"/>
      <c r="K305" s="91"/>
      <c r="L305" s="92" t="str">
        <f>IF(OR('Step 2- Activity Inventory'!O308=6,AND('Step 2- Activity Inventory'!O308=5,E305="Genius")),'Step 1- Hrly Rate Calc'!$D$18,"")</f>
        <v/>
      </c>
      <c r="M305" s="93" t="str">
        <f t="shared" si="12"/>
        <v/>
      </c>
      <c r="N305" s="93" t="str">
        <f>IF(L305="","",IF(IFERROR((G305/60)*M305*2*'Step 1- Hrly Rate Calc'!$D$14,"")&lt;0,"N/A",IFERROR((G305/60)*M305*2*'Step 1- Hrly Rate Calc'!$D$14,"")))</f>
        <v/>
      </c>
      <c r="O305" s="77" t="str">
        <f t="shared" si="13"/>
        <v/>
      </c>
      <c r="P305" s="77" t="str">
        <f t="shared" si="14"/>
        <v/>
      </c>
    </row>
    <row r="306" spans="2:16" s="61" customFormat="1" ht="34" customHeight="1" x14ac:dyDescent="0.2">
      <c r="B306" s="77" t="str">
        <f>IF('Step 2- Activity Inventory'!B309="","",'Step 2- Activity Inventory'!B309)</f>
        <v/>
      </c>
      <c r="C306" s="77" t="str">
        <f>IF('Step 2- Activity Inventory'!C309="","",'Step 2- Activity Inventory'!C309)</f>
        <v/>
      </c>
      <c r="D306" s="88" t="str">
        <f>IF('Step 2- Activity Inventory'!E309="","",'Step 2- Activity Inventory'!E309)</f>
        <v/>
      </c>
      <c r="E306" s="88" t="str">
        <f>IF('Step 2- Activity Inventory'!F309="","",'Step 2- Activity Inventory'!F309)</f>
        <v/>
      </c>
      <c r="F306" s="88" t="str">
        <f>IF(E306="Genius","N/A",IF('Step 2- Activity Inventory'!G309="","",'Step 2- Activity Inventory'!G309))</f>
        <v/>
      </c>
      <c r="G306" s="89" t="str">
        <f>IF('Step 2- Activity Inventory'!D309="","",'Step 2- Activity Inventory'!D309)</f>
        <v/>
      </c>
      <c r="H306" s="90"/>
      <c r="I306" s="24"/>
      <c r="J306" s="24"/>
      <c r="K306" s="91"/>
      <c r="L306" s="92" t="str">
        <f>IF(OR('Step 2- Activity Inventory'!O309=6,AND('Step 2- Activity Inventory'!O309=5,E306="Genius")),'Step 1- Hrly Rate Calc'!$D$18,"")</f>
        <v/>
      </c>
      <c r="M306" s="93" t="str">
        <f t="shared" si="12"/>
        <v/>
      </c>
      <c r="N306" s="93" t="str">
        <f>IF(L306="","",IF(IFERROR((G306/60)*M306*2*'Step 1- Hrly Rate Calc'!$D$14,"")&lt;0,"N/A",IFERROR((G306/60)*M306*2*'Step 1- Hrly Rate Calc'!$D$14,"")))</f>
        <v/>
      </c>
      <c r="O306" s="77" t="str">
        <f t="shared" si="13"/>
        <v/>
      </c>
      <c r="P306" s="77" t="str">
        <f t="shared" si="14"/>
        <v/>
      </c>
    </row>
    <row r="307" spans="2:16" s="61" customFormat="1" ht="34" customHeight="1" x14ac:dyDescent="0.2">
      <c r="B307" s="77" t="str">
        <f>IF('Step 2- Activity Inventory'!B310="","",'Step 2- Activity Inventory'!B310)</f>
        <v/>
      </c>
      <c r="C307" s="77" t="str">
        <f>IF('Step 2- Activity Inventory'!C310="","",'Step 2- Activity Inventory'!C310)</f>
        <v/>
      </c>
      <c r="D307" s="88" t="str">
        <f>IF('Step 2- Activity Inventory'!E310="","",'Step 2- Activity Inventory'!E310)</f>
        <v/>
      </c>
      <c r="E307" s="88" t="str">
        <f>IF('Step 2- Activity Inventory'!F310="","",'Step 2- Activity Inventory'!F310)</f>
        <v/>
      </c>
      <c r="F307" s="88" t="str">
        <f>IF(E307="Genius","N/A",IF('Step 2- Activity Inventory'!G310="","",'Step 2- Activity Inventory'!G310))</f>
        <v/>
      </c>
      <c r="G307" s="89" t="str">
        <f>IF('Step 2- Activity Inventory'!D310="","",'Step 2- Activity Inventory'!D310)</f>
        <v/>
      </c>
      <c r="H307" s="90"/>
      <c r="I307" s="24"/>
      <c r="J307" s="24"/>
      <c r="K307" s="91"/>
      <c r="L307" s="92" t="str">
        <f>IF(OR('Step 2- Activity Inventory'!O310=6,AND('Step 2- Activity Inventory'!O310=5,E307="Genius")),'Step 1- Hrly Rate Calc'!$D$18,"")</f>
        <v/>
      </c>
      <c r="M307" s="93" t="str">
        <f t="shared" si="12"/>
        <v/>
      </c>
      <c r="N307" s="93" t="str">
        <f>IF(L307="","",IF(IFERROR((G307/60)*M307*2*'Step 1- Hrly Rate Calc'!$D$14,"")&lt;0,"N/A",IFERROR((G307/60)*M307*2*'Step 1- Hrly Rate Calc'!$D$14,"")))</f>
        <v/>
      </c>
      <c r="O307" s="77" t="str">
        <f t="shared" si="13"/>
        <v/>
      </c>
      <c r="P307" s="77" t="str">
        <f t="shared" si="14"/>
        <v/>
      </c>
    </row>
    <row r="308" spans="2:16" s="61" customFormat="1" ht="34" customHeight="1" x14ac:dyDescent="0.2">
      <c r="B308" s="77" t="str">
        <f>IF('Step 2- Activity Inventory'!B311="","",'Step 2- Activity Inventory'!B311)</f>
        <v/>
      </c>
      <c r="C308" s="77" t="str">
        <f>IF('Step 2- Activity Inventory'!C311="","",'Step 2- Activity Inventory'!C311)</f>
        <v/>
      </c>
      <c r="D308" s="88" t="str">
        <f>IF('Step 2- Activity Inventory'!E311="","",'Step 2- Activity Inventory'!E311)</f>
        <v/>
      </c>
      <c r="E308" s="88" t="str">
        <f>IF('Step 2- Activity Inventory'!F311="","",'Step 2- Activity Inventory'!F311)</f>
        <v/>
      </c>
      <c r="F308" s="88" t="str">
        <f>IF(E308="Genius","N/A",IF('Step 2- Activity Inventory'!G311="","",'Step 2- Activity Inventory'!G311))</f>
        <v/>
      </c>
      <c r="G308" s="89" t="str">
        <f>IF('Step 2- Activity Inventory'!D311="","",'Step 2- Activity Inventory'!D311)</f>
        <v/>
      </c>
      <c r="H308" s="90"/>
      <c r="I308" s="24"/>
      <c r="J308" s="24"/>
      <c r="K308" s="91"/>
      <c r="L308" s="92" t="str">
        <f>IF(OR('Step 2- Activity Inventory'!O311=6,AND('Step 2- Activity Inventory'!O311=5,E308="Genius")),'Step 1- Hrly Rate Calc'!$D$18,"")</f>
        <v/>
      </c>
      <c r="M308" s="93" t="str">
        <f t="shared" si="12"/>
        <v/>
      </c>
      <c r="N308" s="93" t="str">
        <f>IF(L308="","",IF(IFERROR((G308/60)*M308*2*'Step 1- Hrly Rate Calc'!$D$14,"")&lt;0,"N/A",IFERROR((G308/60)*M308*2*'Step 1- Hrly Rate Calc'!$D$14,"")))</f>
        <v/>
      </c>
      <c r="O308" s="77" t="str">
        <f t="shared" si="13"/>
        <v/>
      </c>
      <c r="P308" s="77" t="str">
        <f t="shared" si="14"/>
        <v/>
      </c>
    </row>
    <row r="309" spans="2:16" s="61" customFormat="1" ht="34" customHeight="1" x14ac:dyDescent="0.2">
      <c r="B309" s="77" t="str">
        <f>IF('Step 2- Activity Inventory'!B312="","",'Step 2- Activity Inventory'!B312)</f>
        <v/>
      </c>
      <c r="C309" s="77" t="str">
        <f>IF('Step 2- Activity Inventory'!C312="","",'Step 2- Activity Inventory'!C312)</f>
        <v/>
      </c>
      <c r="D309" s="88" t="str">
        <f>IF('Step 2- Activity Inventory'!E312="","",'Step 2- Activity Inventory'!E312)</f>
        <v/>
      </c>
      <c r="E309" s="88" t="str">
        <f>IF('Step 2- Activity Inventory'!F312="","",'Step 2- Activity Inventory'!F312)</f>
        <v/>
      </c>
      <c r="F309" s="88" t="str">
        <f>IF(E309="Genius","N/A",IF('Step 2- Activity Inventory'!G312="","",'Step 2- Activity Inventory'!G312))</f>
        <v/>
      </c>
      <c r="G309" s="89" t="str">
        <f>IF('Step 2- Activity Inventory'!D312="","",'Step 2- Activity Inventory'!D312)</f>
        <v/>
      </c>
      <c r="H309" s="90"/>
      <c r="I309" s="24"/>
      <c r="J309" s="24"/>
      <c r="K309" s="91"/>
      <c r="L309" s="92" t="str">
        <f>IF(OR('Step 2- Activity Inventory'!O312=6,AND('Step 2- Activity Inventory'!O312=5,E309="Genius")),'Step 1- Hrly Rate Calc'!$D$18,"")</f>
        <v/>
      </c>
      <c r="M309" s="93" t="str">
        <f t="shared" si="12"/>
        <v/>
      </c>
      <c r="N309" s="93" t="str">
        <f>IF(L309="","",IF(IFERROR((G309/60)*M309*2*'Step 1- Hrly Rate Calc'!$D$14,"")&lt;0,"N/A",IFERROR((G309/60)*M309*2*'Step 1- Hrly Rate Calc'!$D$14,"")))</f>
        <v/>
      </c>
      <c r="O309" s="77" t="str">
        <f t="shared" si="13"/>
        <v/>
      </c>
      <c r="P309" s="77" t="str">
        <f t="shared" si="14"/>
        <v/>
      </c>
    </row>
    <row r="310" spans="2:16" s="61" customFormat="1" ht="34" customHeight="1" x14ac:dyDescent="0.2">
      <c r="B310" s="77" t="str">
        <f>IF('Step 2- Activity Inventory'!B313="","",'Step 2- Activity Inventory'!B313)</f>
        <v/>
      </c>
      <c r="C310" s="77" t="str">
        <f>IF('Step 2- Activity Inventory'!C313="","",'Step 2- Activity Inventory'!C313)</f>
        <v/>
      </c>
      <c r="D310" s="88" t="str">
        <f>IF('Step 2- Activity Inventory'!E313="","",'Step 2- Activity Inventory'!E313)</f>
        <v/>
      </c>
      <c r="E310" s="88" t="str">
        <f>IF('Step 2- Activity Inventory'!F313="","",'Step 2- Activity Inventory'!F313)</f>
        <v/>
      </c>
      <c r="F310" s="88" t="str">
        <f>IF(E310="Genius","N/A",IF('Step 2- Activity Inventory'!G313="","",'Step 2- Activity Inventory'!G313))</f>
        <v/>
      </c>
      <c r="G310" s="89" t="str">
        <f>IF('Step 2- Activity Inventory'!D313="","",'Step 2- Activity Inventory'!D313)</f>
        <v/>
      </c>
      <c r="H310" s="90"/>
      <c r="I310" s="24"/>
      <c r="J310" s="24"/>
      <c r="K310" s="91"/>
      <c r="L310" s="92" t="str">
        <f>IF(OR('Step 2- Activity Inventory'!O313=6,AND('Step 2- Activity Inventory'!O313=5,E310="Genius")),'Step 1- Hrly Rate Calc'!$D$18,"")</f>
        <v/>
      </c>
      <c r="M310" s="93" t="str">
        <f t="shared" si="12"/>
        <v/>
      </c>
      <c r="N310" s="93" t="str">
        <f>IF(L310="","",IF(IFERROR((G310/60)*M310*2*'Step 1- Hrly Rate Calc'!$D$14,"")&lt;0,"N/A",IFERROR((G310/60)*M310*2*'Step 1- Hrly Rate Calc'!$D$14,"")))</f>
        <v/>
      </c>
      <c r="O310" s="77" t="str">
        <f t="shared" si="13"/>
        <v/>
      </c>
      <c r="P310" s="77" t="str">
        <f t="shared" si="14"/>
        <v/>
      </c>
    </row>
    <row r="311" spans="2:16" s="61" customFormat="1" ht="34" customHeight="1" x14ac:dyDescent="0.2">
      <c r="B311" s="77" t="str">
        <f>IF('Step 2- Activity Inventory'!B314="","",'Step 2- Activity Inventory'!B314)</f>
        <v/>
      </c>
      <c r="C311" s="77" t="str">
        <f>IF('Step 2- Activity Inventory'!C314="","",'Step 2- Activity Inventory'!C314)</f>
        <v/>
      </c>
      <c r="D311" s="88" t="str">
        <f>IF('Step 2- Activity Inventory'!E314="","",'Step 2- Activity Inventory'!E314)</f>
        <v/>
      </c>
      <c r="E311" s="88" t="str">
        <f>IF('Step 2- Activity Inventory'!F314="","",'Step 2- Activity Inventory'!F314)</f>
        <v/>
      </c>
      <c r="F311" s="88" t="str">
        <f>IF(E311="Genius","N/A",IF('Step 2- Activity Inventory'!G314="","",'Step 2- Activity Inventory'!G314))</f>
        <v/>
      </c>
      <c r="G311" s="89" t="str">
        <f>IF('Step 2- Activity Inventory'!D314="","",'Step 2- Activity Inventory'!D314)</f>
        <v/>
      </c>
      <c r="H311" s="90"/>
      <c r="I311" s="24"/>
      <c r="J311" s="24"/>
      <c r="K311" s="91"/>
      <c r="L311" s="92" t="str">
        <f>IF(OR('Step 2- Activity Inventory'!O314=6,AND('Step 2- Activity Inventory'!O314=5,E311="Genius")),'Step 1- Hrly Rate Calc'!$D$18,"")</f>
        <v/>
      </c>
      <c r="M311" s="93" t="str">
        <f t="shared" si="12"/>
        <v/>
      </c>
      <c r="N311" s="93" t="str">
        <f>IF(L311="","",IF(IFERROR((G311/60)*M311*2*'Step 1- Hrly Rate Calc'!$D$14,"")&lt;0,"N/A",IFERROR((G311/60)*M311*2*'Step 1- Hrly Rate Calc'!$D$14,"")))</f>
        <v/>
      </c>
      <c r="O311" s="77" t="str">
        <f t="shared" si="13"/>
        <v/>
      </c>
      <c r="P311" s="77" t="str">
        <f t="shared" si="14"/>
        <v/>
      </c>
    </row>
    <row r="312" spans="2:16" s="61" customFormat="1" ht="34" customHeight="1" x14ac:dyDescent="0.2">
      <c r="B312" s="77" t="str">
        <f>IF('Step 2- Activity Inventory'!B315="","",'Step 2- Activity Inventory'!B315)</f>
        <v/>
      </c>
      <c r="C312" s="77" t="str">
        <f>IF('Step 2- Activity Inventory'!C315="","",'Step 2- Activity Inventory'!C315)</f>
        <v/>
      </c>
      <c r="D312" s="88" t="str">
        <f>IF('Step 2- Activity Inventory'!E315="","",'Step 2- Activity Inventory'!E315)</f>
        <v/>
      </c>
      <c r="E312" s="88" t="str">
        <f>IF('Step 2- Activity Inventory'!F315="","",'Step 2- Activity Inventory'!F315)</f>
        <v/>
      </c>
      <c r="F312" s="88" t="str">
        <f>IF(E312="Genius","N/A",IF('Step 2- Activity Inventory'!G315="","",'Step 2- Activity Inventory'!G315))</f>
        <v/>
      </c>
      <c r="G312" s="89" t="str">
        <f>IF('Step 2- Activity Inventory'!D315="","",'Step 2- Activity Inventory'!D315)</f>
        <v/>
      </c>
      <c r="H312" s="90"/>
      <c r="I312" s="24"/>
      <c r="J312" s="24"/>
      <c r="K312" s="91"/>
      <c r="L312" s="92" t="str">
        <f>IF(OR('Step 2- Activity Inventory'!O315=6,AND('Step 2- Activity Inventory'!O315=5,E312="Genius")),'Step 1- Hrly Rate Calc'!$D$18,"")</f>
        <v/>
      </c>
      <c r="M312" s="93" t="str">
        <f t="shared" si="12"/>
        <v/>
      </c>
      <c r="N312" s="93" t="str">
        <f>IF(L312="","",IF(IFERROR((G312/60)*M312*2*'Step 1- Hrly Rate Calc'!$D$14,"")&lt;0,"N/A",IFERROR((G312/60)*M312*2*'Step 1- Hrly Rate Calc'!$D$14,"")))</f>
        <v/>
      </c>
      <c r="O312" s="77" t="str">
        <f t="shared" si="13"/>
        <v/>
      </c>
      <c r="P312" s="77" t="str">
        <f t="shared" si="14"/>
        <v/>
      </c>
    </row>
    <row r="313" spans="2:16" s="61" customFormat="1" ht="34" customHeight="1" x14ac:dyDescent="0.2">
      <c r="B313" s="77" t="str">
        <f>IF('Step 2- Activity Inventory'!B316="","",'Step 2- Activity Inventory'!B316)</f>
        <v/>
      </c>
      <c r="C313" s="77" t="str">
        <f>IF('Step 2- Activity Inventory'!C316="","",'Step 2- Activity Inventory'!C316)</f>
        <v/>
      </c>
      <c r="D313" s="88" t="str">
        <f>IF('Step 2- Activity Inventory'!E316="","",'Step 2- Activity Inventory'!E316)</f>
        <v/>
      </c>
      <c r="E313" s="88" t="str">
        <f>IF('Step 2- Activity Inventory'!F316="","",'Step 2- Activity Inventory'!F316)</f>
        <v/>
      </c>
      <c r="F313" s="88" t="str">
        <f>IF(E313="Genius","N/A",IF('Step 2- Activity Inventory'!G316="","",'Step 2- Activity Inventory'!G316))</f>
        <v/>
      </c>
      <c r="G313" s="89" t="str">
        <f>IF('Step 2- Activity Inventory'!D316="","",'Step 2- Activity Inventory'!D316)</f>
        <v/>
      </c>
      <c r="H313" s="90"/>
      <c r="I313" s="24"/>
      <c r="J313" s="24"/>
      <c r="K313" s="91"/>
      <c r="L313" s="92" t="str">
        <f>IF(OR('Step 2- Activity Inventory'!O316=6,AND('Step 2- Activity Inventory'!O316=5,E313="Genius")),'Step 1- Hrly Rate Calc'!$D$18,"")</f>
        <v/>
      </c>
      <c r="M313" s="93" t="str">
        <f t="shared" si="12"/>
        <v/>
      </c>
      <c r="N313" s="93" t="str">
        <f>IF(L313="","",IF(IFERROR((G313/60)*M313*2*'Step 1- Hrly Rate Calc'!$D$14,"")&lt;0,"N/A",IFERROR((G313/60)*M313*2*'Step 1- Hrly Rate Calc'!$D$14,"")))</f>
        <v/>
      </c>
      <c r="O313" s="77" t="str">
        <f t="shared" si="13"/>
        <v/>
      </c>
      <c r="P313" s="77" t="str">
        <f t="shared" si="14"/>
        <v/>
      </c>
    </row>
    <row r="314" spans="2:16" s="61" customFormat="1" ht="34" customHeight="1" x14ac:dyDescent="0.2">
      <c r="B314" s="77" t="str">
        <f>IF('Step 2- Activity Inventory'!B317="","",'Step 2- Activity Inventory'!B317)</f>
        <v/>
      </c>
      <c r="C314" s="77" t="str">
        <f>IF('Step 2- Activity Inventory'!C317="","",'Step 2- Activity Inventory'!C317)</f>
        <v/>
      </c>
      <c r="D314" s="88" t="str">
        <f>IF('Step 2- Activity Inventory'!E317="","",'Step 2- Activity Inventory'!E317)</f>
        <v/>
      </c>
      <c r="E314" s="88" t="str">
        <f>IF('Step 2- Activity Inventory'!F317="","",'Step 2- Activity Inventory'!F317)</f>
        <v/>
      </c>
      <c r="F314" s="88" t="str">
        <f>IF(E314="Genius","N/A",IF('Step 2- Activity Inventory'!G317="","",'Step 2- Activity Inventory'!G317))</f>
        <v/>
      </c>
      <c r="G314" s="89" t="str">
        <f>IF('Step 2- Activity Inventory'!D317="","",'Step 2- Activity Inventory'!D317)</f>
        <v/>
      </c>
      <c r="H314" s="90"/>
      <c r="I314" s="24"/>
      <c r="J314" s="24"/>
      <c r="K314" s="91"/>
      <c r="L314" s="92" t="str">
        <f>IF(OR('Step 2- Activity Inventory'!O317=6,AND('Step 2- Activity Inventory'!O317=5,E314="Genius")),'Step 1- Hrly Rate Calc'!$D$18,"")</f>
        <v/>
      </c>
      <c r="M314" s="93" t="str">
        <f t="shared" si="12"/>
        <v/>
      </c>
      <c r="N314" s="93" t="str">
        <f>IF(L314="","",IF(IFERROR((G314/60)*M314*2*'Step 1- Hrly Rate Calc'!$D$14,"")&lt;0,"N/A",IFERROR((G314/60)*M314*2*'Step 1- Hrly Rate Calc'!$D$14,"")))</f>
        <v/>
      </c>
      <c r="O314" s="77" t="str">
        <f t="shared" si="13"/>
        <v/>
      </c>
      <c r="P314" s="77" t="str">
        <f t="shared" si="14"/>
        <v/>
      </c>
    </row>
    <row r="315" spans="2:16" s="61" customFormat="1" ht="34" customHeight="1" x14ac:dyDescent="0.2">
      <c r="B315" s="77" t="str">
        <f>IF('Step 2- Activity Inventory'!B318="","",'Step 2- Activity Inventory'!B318)</f>
        <v/>
      </c>
      <c r="C315" s="77" t="str">
        <f>IF('Step 2- Activity Inventory'!C318="","",'Step 2- Activity Inventory'!C318)</f>
        <v/>
      </c>
      <c r="D315" s="88" t="str">
        <f>IF('Step 2- Activity Inventory'!E318="","",'Step 2- Activity Inventory'!E318)</f>
        <v/>
      </c>
      <c r="E315" s="88" t="str">
        <f>IF('Step 2- Activity Inventory'!F318="","",'Step 2- Activity Inventory'!F318)</f>
        <v/>
      </c>
      <c r="F315" s="88" t="str">
        <f>IF(E315="Genius","N/A",IF('Step 2- Activity Inventory'!G318="","",'Step 2- Activity Inventory'!G318))</f>
        <v/>
      </c>
      <c r="G315" s="89" t="str">
        <f>IF('Step 2- Activity Inventory'!D318="","",'Step 2- Activity Inventory'!D318)</f>
        <v/>
      </c>
      <c r="H315" s="90"/>
      <c r="I315" s="24"/>
      <c r="J315" s="24"/>
      <c r="K315" s="91"/>
      <c r="L315" s="92" t="str">
        <f>IF(OR('Step 2- Activity Inventory'!O318=6,AND('Step 2- Activity Inventory'!O318=5,E315="Genius")),'Step 1- Hrly Rate Calc'!$D$18,"")</f>
        <v/>
      </c>
      <c r="M315" s="93" t="str">
        <f t="shared" si="12"/>
        <v/>
      </c>
      <c r="N315" s="93" t="str">
        <f>IF(L315="","",IF(IFERROR((G315/60)*M315*2*'Step 1- Hrly Rate Calc'!$D$14,"")&lt;0,"N/A",IFERROR((G315/60)*M315*2*'Step 1- Hrly Rate Calc'!$D$14,"")))</f>
        <v/>
      </c>
      <c r="O315" s="77" t="str">
        <f t="shared" si="13"/>
        <v/>
      </c>
      <c r="P315" s="77" t="str">
        <f t="shared" si="14"/>
        <v/>
      </c>
    </row>
    <row r="316" spans="2:16" s="61" customFormat="1" ht="34" customHeight="1" x14ac:dyDescent="0.2">
      <c r="B316" s="77" t="str">
        <f>IF('Step 2- Activity Inventory'!B319="","",'Step 2- Activity Inventory'!B319)</f>
        <v/>
      </c>
      <c r="C316" s="77" t="str">
        <f>IF('Step 2- Activity Inventory'!C319="","",'Step 2- Activity Inventory'!C319)</f>
        <v/>
      </c>
      <c r="D316" s="88" t="str">
        <f>IF('Step 2- Activity Inventory'!E319="","",'Step 2- Activity Inventory'!E319)</f>
        <v/>
      </c>
      <c r="E316" s="88" t="str">
        <f>IF('Step 2- Activity Inventory'!F319="","",'Step 2- Activity Inventory'!F319)</f>
        <v/>
      </c>
      <c r="F316" s="88" t="str">
        <f>IF(E316="Genius","N/A",IF('Step 2- Activity Inventory'!G319="","",'Step 2- Activity Inventory'!G319))</f>
        <v/>
      </c>
      <c r="G316" s="89" t="str">
        <f>IF('Step 2- Activity Inventory'!D319="","",'Step 2- Activity Inventory'!D319)</f>
        <v/>
      </c>
      <c r="H316" s="90"/>
      <c r="I316" s="24"/>
      <c r="J316" s="24"/>
      <c r="K316" s="91"/>
      <c r="L316" s="92" t="str">
        <f>IF(OR('Step 2- Activity Inventory'!O319=6,AND('Step 2- Activity Inventory'!O319=5,E316="Genius")),'Step 1- Hrly Rate Calc'!$D$18,"")</f>
        <v/>
      </c>
      <c r="M316" s="93" t="str">
        <f t="shared" si="12"/>
        <v/>
      </c>
      <c r="N316" s="93" t="str">
        <f>IF(L316="","",IF(IFERROR((G316/60)*M316*2*'Step 1- Hrly Rate Calc'!$D$14,"")&lt;0,"N/A",IFERROR((G316/60)*M316*2*'Step 1- Hrly Rate Calc'!$D$14,"")))</f>
        <v/>
      </c>
      <c r="O316" s="77" t="str">
        <f t="shared" si="13"/>
        <v/>
      </c>
      <c r="P316" s="77" t="str">
        <f t="shared" si="14"/>
        <v/>
      </c>
    </row>
    <row r="317" spans="2:16" s="61" customFormat="1" ht="34" customHeight="1" x14ac:dyDescent="0.2">
      <c r="B317" s="77" t="str">
        <f>IF('Step 2- Activity Inventory'!B320="","",'Step 2- Activity Inventory'!B320)</f>
        <v/>
      </c>
      <c r="C317" s="77" t="str">
        <f>IF('Step 2- Activity Inventory'!C320="","",'Step 2- Activity Inventory'!C320)</f>
        <v/>
      </c>
      <c r="D317" s="88" t="str">
        <f>IF('Step 2- Activity Inventory'!E320="","",'Step 2- Activity Inventory'!E320)</f>
        <v/>
      </c>
      <c r="E317" s="88" t="str">
        <f>IF('Step 2- Activity Inventory'!F320="","",'Step 2- Activity Inventory'!F320)</f>
        <v/>
      </c>
      <c r="F317" s="88" t="str">
        <f>IF(E317="Genius","N/A",IF('Step 2- Activity Inventory'!G320="","",'Step 2- Activity Inventory'!G320))</f>
        <v/>
      </c>
      <c r="G317" s="89" t="str">
        <f>IF('Step 2- Activity Inventory'!D320="","",'Step 2- Activity Inventory'!D320)</f>
        <v/>
      </c>
      <c r="H317" s="90"/>
      <c r="I317" s="24"/>
      <c r="J317" s="24"/>
      <c r="K317" s="91"/>
      <c r="L317" s="92" t="str">
        <f>IF(OR('Step 2- Activity Inventory'!O320=6,AND('Step 2- Activity Inventory'!O320=5,E317="Genius")),'Step 1- Hrly Rate Calc'!$D$18,"")</f>
        <v/>
      </c>
      <c r="M317" s="93" t="str">
        <f t="shared" si="12"/>
        <v/>
      </c>
      <c r="N317" s="93" t="str">
        <f>IF(L317="","",IF(IFERROR((G317/60)*M317*2*'Step 1- Hrly Rate Calc'!$D$14,"")&lt;0,"N/A",IFERROR((G317/60)*M317*2*'Step 1- Hrly Rate Calc'!$D$14,"")))</f>
        <v/>
      </c>
      <c r="O317" s="77" t="str">
        <f t="shared" si="13"/>
        <v/>
      </c>
      <c r="P317" s="77" t="str">
        <f t="shared" si="14"/>
        <v/>
      </c>
    </row>
    <row r="318" spans="2:16" s="61" customFormat="1" ht="34" customHeight="1" x14ac:dyDescent="0.2">
      <c r="B318" s="77" t="str">
        <f>IF('Step 2- Activity Inventory'!B321="","",'Step 2- Activity Inventory'!B321)</f>
        <v/>
      </c>
      <c r="C318" s="77" t="str">
        <f>IF('Step 2- Activity Inventory'!C321="","",'Step 2- Activity Inventory'!C321)</f>
        <v/>
      </c>
      <c r="D318" s="88" t="str">
        <f>IF('Step 2- Activity Inventory'!E321="","",'Step 2- Activity Inventory'!E321)</f>
        <v/>
      </c>
      <c r="E318" s="88" t="str">
        <f>IF('Step 2- Activity Inventory'!F321="","",'Step 2- Activity Inventory'!F321)</f>
        <v/>
      </c>
      <c r="F318" s="88" t="str">
        <f>IF(E318="Genius","N/A",IF('Step 2- Activity Inventory'!G321="","",'Step 2- Activity Inventory'!G321))</f>
        <v/>
      </c>
      <c r="G318" s="89" t="str">
        <f>IF('Step 2- Activity Inventory'!D321="","",'Step 2- Activity Inventory'!D321)</f>
        <v/>
      </c>
      <c r="H318" s="90"/>
      <c r="I318" s="24"/>
      <c r="J318" s="24"/>
      <c r="K318" s="91"/>
      <c r="L318" s="92" t="str">
        <f>IF(OR('Step 2- Activity Inventory'!O321=6,AND('Step 2- Activity Inventory'!O321=5,E318="Genius")),'Step 1- Hrly Rate Calc'!$D$18,"")</f>
        <v/>
      </c>
      <c r="M318" s="93" t="str">
        <f t="shared" si="12"/>
        <v/>
      </c>
      <c r="N318" s="93" t="str">
        <f>IF(L318="","",IF(IFERROR((G318/60)*M318*2*'Step 1- Hrly Rate Calc'!$D$14,"")&lt;0,"N/A",IFERROR((G318/60)*M318*2*'Step 1- Hrly Rate Calc'!$D$14,"")))</f>
        <v/>
      </c>
      <c r="O318" s="77" t="str">
        <f t="shared" si="13"/>
        <v/>
      </c>
      <c r="P318" s="77" t="str">
        <f t="shared" si="14"/>
        <v/>
      </c>
    </row>
    <row r="319" spans="2:16" s="61" customFormat="1" ht="34" customHeight="1" x14ac:dyDescent="0.2">
      <c r="B319" s="77" t="str">
        <f>IF('Step 2- Activity Inventory'!B322="","",'Step 2- Activity Inventory'!B322)</f>
        <v/>
      </c>
      <c r="C319" s="77" t="str">
        <f>IF('Step 2- Activity Inventory'!C322="","",'Step 2- Activity Inventory'!C322)</f>
        <v/>
      </c>
      <c r="D319" s="88" t="str">
        <f>IF('Step 2- Activity Inventory'!E322="","",'Step 2- Activity Inventory'!E322)</f>
        <v/>
      </c>
      <c r="E319" s="88" t="str">
        <f>IF('Step 2- Activity Inventory'!F322="","",'Step 2- Activity Inventory'!F322)</f>
        <v/>
      </c>
      <c r="F319" s="88" t="str">
        <f>IF(E319="Genius","N/A",IF('Step 2- Activity Inventory'!G322="","",'Step 2- Activity Inventory'!G322))</f>
        <v/>
      </c>
      <c r="G319" s="89" t="str">
        <f>IF('Step 2- Activity Inventory'!D322="","",'Step 2- Activity Inventory'!D322)</f>
        <v/>
      </c>
      <c r="H319" s="90"/>
      <c r="I319" s="24"/>
      <c r="J319" s="24"/>
      <c r="K319" s="91"/>
      <c r="L319" s="92" t="str">
        <f>IF(OR('Step 2- Activity Inventory'!O322=6,AND('Step 2- Activity Inventory'!O322=5,E319="Genius")),'Step 1- Hrly Rate Calc'!$D$18,"")</f>
        <v/>
      </c>
      <c r="M319" s="93" t="str">
        <f t="shared" si="12"/>
        <v/>
      </c>
      <c r="N319" s="93" t="str">
        <f>IF(L319="","",IF(IFERROR((G319/60)*M319*2*'Step 1- Hrly Rate Calc'!$D$14,"")&lt;0,"N/A",IFERROR((G319/60)*M319*2*'Step 1- Hrly Rate Calc'!$D$14,"")))</f>
        <v/>
      </c>
      <c r="O319" s="77" t="str">
        <f t="shared" si="13"/>
        <v/>
      </c>
      <c r="P319" s="77" t="str">
        <f t="shared" si="14"/>
        <v/>
      </c>
    </row>
    <row r="320" spans="2:16" s="61" customFormat="1" ht="34" customHeight="1" x14ac:dyDescent="0.2">
      <c r="B320" s="77" t="str">
        <f>IF('Step 2- Activity Inventory'!B323="","",'Step 2- Activity Inventory'!B323)</f>
        <v/>
      </c>
      <c r="C320" s="77" t="str">
        <f>IF('Step 2- Activity Inventory'!C323="","",'Step 2- Activity Inventory'!C323)</f>
        <v/>
      </c>
      <c r="D320" s="88" t="str">
        <f>IF('Step 2- Activity Inventory'!E323="","",'Step 2- Activity Inventory'!E323)</f>
        <v/>
      </c>
      <c r="E320" s="88" t="str">
        <f>IF('Step 2- Activity Inventory'!F323="","",'Step 2- Activity Inventory'!F323)</f>
        <v/>
      </c>
      <c r="F320" s="88" t="str">
        <f>IF(E320="Genius","N/A",IF('Step 2- Activity Inventory'!G323="","",'Step 2- Activity Inventory'!G323))</f>
        <v/>
      </c>
      <c r="G320" s="89" t="str">
        <f>IF('Step 2- Activity Inventory'!D323="","",'Step 2- Activity Inventory'!D323)</f>
        <v/>
      </c>
      <c r="H320" s="90"/>
      <c r="I320" s="24"/>
      <c r="J320" s="24"/>
      <c r="K320" s="91"/>
      <c r="L320" s="92" t="str">
        <f>IF(OR('Step 2- Activity Inventory'!O323=6,AND('Step 2- Activity Inventory'!O323=5,E320="Genius")),'Step 1- Hrly Rate Calc'!$D$18,"")</f>
        <v/>
      </c>
      <c r="M320" s="93" t="str">
        <f t="shared" si="12"/>
        <v/>
      </c>
      <c r="N320" s="93" t="str">
        <f>IF(L320="","",IF(IFERROR((G320/60)*M320*2*'Step 1- Hrly Rate Calc'!$D$14,"")&lt;0,"N/A",IFERROR((G320/60)*M320*2*'Step 1- Hrly Rate Calc'!$D$14,"")))</f>
        <v/>
      </c>
      <c r="O320" s="77" t="str">
        <f t="shared" si="13"/>
        <v/>
      </c>
      <c r="P320" s="77" t="str">
        <f t="shared" si="14"/>
        <v/>
      </c>
    </row>
    <row r="321" spans="2:16" s="61" customFormat="1" ht="34" customHeight="1" x14ac:dyDescent="0.2">
      <c r="B321" s="77" t="str">
        <f>IF('Step 2- Activity Inventory'!B324="","",'Step 2- Activity Inventory'!B324)</f>
        <v/>
      </c>
      <c r="C321" s="77" t="str">
        <f>IF('Step 2- Activity Inventory'!C324="","",'Step 2- Activity Inventory'!C324)</f>
        <v/>
      </c>
      <c r="D321" s="88" t="str">
        <f>IF('Step 2- Activity Inventory'!E324="","",'Step 2- Activity Inventory'!E324)</f>
        <v/>
      </c>
      <c r="E321" s="88" t="str">
        <f>IF('Step 2- Activity Inventory'!F324="","",'Step 2- Activity Inventory'!F324)</f>
        <v/>
      </c>
      <c r="F321" s="88" t="str">
        <f>IF(E321="Genius","N/A",IF('Step 2- Activity Inventory'!G324="","",'Step 2- Activity Inventory'!G324))</f>
        <v/>
      </c>
      <c r="G321" s="89" t="str">
        <f>IF('Step 2- Activity Inventory'!D324="","",'Step 2- Activity Inventory'!D324)</f>
        <v/>
      </c>
      <c r="H321" s="90"/>
      <c r="I321" s="24"/>
      <c r="J321" s="24"/>
      <c r="K321" s="91"/>
      <c r="L321" s="92" t="str">
        <f>IF(OR('Step 2- Activity Inventory'!O324=6,AND('Step 2- Activity Inventory'!O324=5,E321="Genius")),'Step 1- Hrly Rate Calc'!$D$18,"")</f>
        <v/>
      </c>
      <c r="M321" s="93" t="str">
        <f t="shared" si="12"/>
        <v/>
      </c>
      <c r="N321" s="93" t="str">
        <f>IF(L321="","",IF(IFERROR((G321/60)*M321*2*'Step 1- Hrly Rate Calc'!$D$14,"")&lt;0,"N/A",IFERROR((G321/60)*M321*2*'Step 1- Hrly Rate Calc'!$D$14,"")))</f>
        <v/>
      </c>
      <c r="O321" s="77" t="str">
        <f t="shared" si="13"/>
        <v/>
      </c>
      <c r="P321" s="77" t="str">
        <f t="shared" si="14"/>
        <v/>
      </c>
    </row>
    <row r="322" spans="2:16" s="61" customFormat="1" ht="34" customHeight="1" x14ac:dyDescent="0.2">
      <c r="B322" s="77" t="str">
        <f>IF('Step 2- Activity Inventory'!B325="","",'Step 2- Activity Inventory'!B325)</f>
        <v/>
      </c>
      <c r="C322" s="77" t="str">
        <f>IF('Step 2- Activity Inventory'!C325="","",'Step 2- Activity Inventory'!C325)</f>
        <v/>
      </c>
      <c r="D322" s="88" t="str">
        <f>IF('Step 2- Activity Inventory'!E325="","",'Step 2- Activity Inventory'!E325)</f>
        <v/>
      </c>
      <c r="E322" s="88" t="str">
        <f>IF('Step 2- Activity Inventory'!F325="","",'Step 2- Activity Inventory'!F325)</f>
        <v/>
      </c>
      <c r="F322" s="88" t="str">
        <f>IF(E322="Genius","N/A",IF('Step 2- Activity Inventory'!G325="","",'Step 2- Activity Inventory'!G325))</f>
        <v/>
      </c>
      <c r="G322" s="89" t="str">
        <f>IF('Step 2- Activity Inventory'!D325="","",'Step 2- Activity Inventory'!D325)</f>
        <v/>
      </c>
      <c r="H322" s="90"/>
      <c r="I322" s="24"/>
      <c r="J322" s="24"/>
      <c r="K322" s="91"/>
      <c r="L322" s="92" t="str">
        <f>IF(OR('Step 2- Activity Inventory'!O325=6,AND('Step 2- Activity Inventory'!O325=5,E322="Genius")),'Step 1- Hrly Rate Calc'!$D$18,"")</f>
        <v/>
      </c>
      <c r="M322" s="93" t="str">
        <f t="shared" si="12"/>
        <v/>
      </c>
      <c r="N322" s="93" t="str">
        <f>IF(L322="","",IF(IFERROR((G322/60)*M322*2*'Step 1- Hrly Rate Calc'!$D$14,"")&lt;0,"N/A",IFERROR((G322/60)*M322*2*'Step 1- Hrly Rate Calc'!$D$14,"")))</f>
        <v/>
      </c>
      <c r="O322" s="77" t="str">
        <f t="shared" si="13"/>
        <v/>
      </c>
      <c r="P322" s="77" t="str">
        <f t="shared" si="14"/>
        <v/>
      </c>
    </row>
    <row r="323" spans="2:16" s="61" customFormat="1" ht="34" customHeight="1" x14ac:dyDescent="0.2">
      <c r="B323" s="77" t="str">
        <f>IF('Step 2- Activity Inventory'!B326="","",'Step 2- Activity Inventory'!B326)</f>
        <v/>
      </c>
      <c r="C323" s="77" t="str">
        <f>IF('Step 2- Activity Inventory'!C326="","",'Step 2- Activity Inventory'!C326)</f>
        <v/>
      </c>
      <c r="D323" s="88" t="str">
        <f>IF('Step 2- Activity Inventory'!E326="","",'Step 2- Activity Inventory'!E326)</f>
        <v/>
      </c>
      <c r="E323" s="88" t="str">
        <f>IF('Step 2- Activity Inventory'!F326="","",'Step 2- Activity Inventory'!F326)</f>
        <v/>
      </c>
      <c r="F323" s="88" t="str">
        <f>IF(E323="Genius","N/A",IF('Step 2- Activity Inventory'!G326="","",'Step 2- Activity Inventory'!G326))</f>
        <v/>
      </c>
      <c r="G323" s="89" t="str">
        <f>IF('Step 2- Activity Inventory'!D326="","",'Step 2- Activity Inventory'!D326)</f>
        <v/>
      </c>
      <c r="H323" s="90"/>
      <c r="I323" s="24"/>
      <c r="J323" s="24"/>
      <c r="K323" s="91"/>
      <c r="L323" s="92" t="str">
        <f>IF(OR('Step 2- Activity Inventory'!O326=6,AND('Step 2- Activity Inventory'!O326=5,E323="Genius")),'Step 1- Hrly Rate Calc'!$D$18,"")</f>
        <v/>
      </c>
      <c r="M323" s="93" t="str">
        <f t="shared" si="12"/>
        <v/>
      </c>
      <c r="N323" s="93" t="str">
        <f>IF(L323="","",IF(IFERROR((G323/60)*M323*2*'Step 1- Hrly Rate Calc'!$D$14,"")&lt;0,"N/A",IFERROR((G323/60)*M323*2*'Step 1- Hrly Rate Calc'!$D$14,"")))</f>
        <v/>
      </c>
      <c r="O323" s="77" t="str">
        <f t="shared" si="13"/>
        <v/>
      </c>
      <c r="P323" s="77" t="str">
        <f t="shared" si="14"/>
        <v/>
      </c>
    </row>
    <row r="324" spans="2:16" s="61" customFormat="1" ht="34" customHeight="1" x14ac:dyDescent="0.2">
      <c r="B324" s="77" t="str">
        <f>IF('Step 2- Activity Inventory'!B327="","",'Step 2- Activity Inventory'!B327)</f>
        <v/>
      </c>
      <c r="C324" s="77" t="str">
        <f>IF('Step 2- Activity Inventory'!C327="","",'Step 2- Activity Inventory'!C327)</f>
        <v/>
      </c>
      <c r="D324" s="88" t="str">
        <f>IF('Step 2- Activity Inventory'!E327="","",'Step 2- Activity Inventory'!E327)</f>
        <v/>
      </c>
      <c r="E324" s="88" t="str">
        <f>IF('Step 2- Activity Inventory'!F327="","",'Step 2- Activity Inventory'!F327)</f>
        <v/>
      </c>
      <c r="F324" s="88" t="str">
        <f>IF(E324="Genius","N/A",IF('Step 2- Activity Inventory'!G327="","",'Step 2- Activity Inventory'!G327))</f>
        <v/>
      </c>
      <c r="G324" s="89" t="str">
        <f>IF('Step 2- Activity Inventory'!D327="","",'Step 2- Activity Inventory'!D327)</f>
        <v/>
      </c>
      <c r="H324" s="90"/>
      <c r="I324" s="24"/>
      <c r="J324" s="24"/>
      <c r="K324" s="91"/>
      <c r="L324" s="92" t="str">
        <f>IF(OR('Step 2- Activity Inventory'!O327=6,AND('Step 2- Activity Inventory'!O327=5,E324="Genius")),'Step 1- Hrly Rate Calc'!$D$18,"")</f>
        <v/>
      </c>
      <c r="M324" s="93" t="str">
        <f t="shared" si="12"/>
        <v/>
      </c>
      <c r="N324" s="93" t="str">
        <f>IF(L324="","",IF(IFERROR((G324/60)*M324*2*'Step 1- Hrly Rate Calc'!$D$14,"")&lt;0,"N/A",IFERROR((G324/60)*M324*2*'Step 1- Hrly Rate Calc'!$D$14,"")))</f>
        <v/>
      </c>
      <c r="O324" s="77" t="str">
        <f t="shared" si="13"/>
        <v/>
      </c>
      <c r="P324" s="77" t="str">
        <f t="shared" si="14"/>
        <v/>
      </c>
    </row>
    <row r="325" spans="2:16" s="61" customFormat="1" ht="34" customHeight="1" x14ac:dyDescent="0.2">
      <c r="B325" s="77" t="str">
        <f>IF('Step 2- Activity Inventory'!B328="","",'Step 2- Activity Inventory'!B328)</f>
        <v/>
      </c>
      <c r="C325" s="77" t="str">
        <f>IF('Step 2- Activity Inventory'!C328="","",'Step 2- Activity Inventory'!C328)</f>
        <v/>
      </c>
      <c r="D325" s="88" t="str">
        <f>IF('Step 2- Activity Inventory'!E328="","",'Step 2- Activity Inventory'!E328)</f>
        <v/>
      </c>
      <c r="E325" s="88" t="str">
        <f>IF('Step 2- Activity Inventory'!F328="","",'Step 2- Activity Inventory'!F328)</f>
        <v/>
      </c>
      <c r="F325" s="88" t="str">
        <f>IF(E325="Genius","N/A",IF('Step 2- Activity Inventory'!G328="","",'Step 2- Activity Inventory'!G328))</f>
        <v/>
      </c>
      <c r="G325" s="89" t="str">
        <f>IF('Step 2- Activity Inventory'!D328="","",'Step 2- Activity Inventory'!D328)</f>
        <v/>
      </c>
      <c r="H325" s="90"/>
      <c r="I325" s="24"/>
      <c r="J325" s="24"/>
      <c r="K325" s="91"/>
      <c r="L325" s="92" t="str">
        <f>IF(OR('Step 2- Activity Inventory'!O328=6,AND('Step 2- Activity Inventory'!O328=5,E325="Genius")),'Step 1- Hrly Rate Calc'!$D$18,"")</f>
        <v/>
      </c>
      <c r="M325" s="93" t="str">
        <f t="shared" si="12"/>
        <v/>
      </c>
      <c r="N325" s="93" t="str">
        <f>IF(L325="","",IF(IFERROR((G325/60)*M325*2*'Step 1- Hrly Rate Calc'!$D$14,"")&lt;0,"N/A",IFERROR((G325/60)*M325*2*'Step 1- Hrly Rate Calc'!$D$14,"")))</f>
        <v/>
      </c>
      <c r="O325" s="77" t="str">
        <f t="shared" si="13"/>
        <v/>
      </c>
      <c r="P325" s="77" t="str">
        <f t="shared" si="14"/>
        <v/>
      </c>
    </row>
    <row r="326" spans="2:16" s="61" customFormat="1" ht="34" customHeight="1" x14ac:dyDescent="0.2">
      <c r="B326" s="77" t="str">
        <f>IF('Step 2- Activity Inventory'!B329="","",'Step 2- Activity Inventory'!B329)</f>
        <v/>
      </c>
      <c r="C326" s="77" t="str">
        <f>IF('Step 2- Activity Inventory'!C329="","",'Step 2- Activity Inventory'!C329)</f>
        <v/>
      </c>
      <c r="D326" s="88" t="str">
        <f>IF('Step 2- Activity Inventory'!E329="","",'Step 2- Activity Inventory'!E329)</f>
        <v/>
      </c>
      <c r="E326" s="88" t="str">
        <f>IF('Step 2- Activity Inventory'!F329="","",'Step 2- Activity Inventory'!F329)</f>
        <v/>
      </c>
      <c r="F326" s="88" t="str">
        <f>IF(E326="Genius","N/A",IF('Step 2- Activity Inventory'!G329="","",'Step 2- Activity Inventory'!G329))</f>
        <v/>
      </c>
      <c r="G326" s="89" t="str">
        <f>IF('Step 2- Activity Inventory'!D329="","",'Step 2- Activity Inventory'!D329)</f>
        <v/>
      </c>
      <c r="H326" s="90"/>
      <c r="I326" s="24"/>
      <c r="J326" s="24"/>
      <c r="K326" s="91"/>
      <c r="L326" s="92" t="str">
        <f>IF(OR('Step 2- Activity Inventory'!O329=6,AND('Step 2- Activity Inventory'!O329=5,E326="Genius")),'Step 1- Hrly Rate Calc'!$D$18,"")</f>
        <v/>
      </c>
      <c r="M326" s="93" t="str">
        <f t="shared" si="12"/>
        <v/>
      </c>
      <c r="N326" s="93" t="str">
        <f>IF(L326="","",IF(IFERROR((G326/60)*M326*2*'Step 1- Hrly Rate Calc'!$D$14,"")&lt;0,"N/A",IFERROR((G326/60)*M326*2*'Step 1- Hrly Rate Calc'!$D$14,"")))</f>
        <v/>
      </c>
      <c r="O326" s="77" t="str">
        <f t="shared" si="13"/>
        <v/>
      </c>
      <c r="P326" s="77" t="str">
        <f t="shared" si="14"/>
        <v/>
      </c>
    </row>
    <row r="327" spans="2:16" s="61" customFormat="1" ht="34" customHeight="1" x14ac:dyDescent="0.2">
      <c r="B327" s="77" t="str">
        <f>IF('Step 2- Activity Inventory'!B330="","",'Step 2- Activity Inventory'!B330)</f>
        <v/>
      </c>
      <c r="C327" s="77" t="str">
        <f>IF('Step 2- Activity Inventory'!C330="","",'Step 2- Activity Inventory'!C330)</f>
        <v/>
      </c>
      <c r="D327" s="88" t="str">
        <f>IF('Step 2- Activity Inventory'!E330="","",'Step 2- Activity Inventory'!E330)</f>
        <v/>
      </c>
      <c r="E327" s="88" t="str">
        <f>IF('Step 2- Activity Inventory'!F330="","",'Step 2- Activity Inventory'!F330)</f>
        <v/>
      </c>
      <c r="F327" s="88" t="str">
        <f>IF(E327="Genius","N/A",IF('Step 2- Activity Inventory'!G330="","",'Step 2- Activity Inventory'!G330))</f>
        <v/>
      </c>
      <c r="G327" s="89" t="str">
        <f>IF('Step 2- Activity Inventory'!D330="","",'Step 2- Activity Inventory'!D330)</f>
        <v/>
      </c>
      <c r="H327" s="90"/>
      <c r="I327" s="24"/>
      <c r="J327" s="24"/>
      <c r="K327" s="91"/>
      <c r="L327" s="92" t="str">
        <f>IF(OR('Step 2- Activity Inventory'!O330=6,AND('Step 2- Activity Inventory'!O330=5,E327="Genius")),'Step 1- Hrly Rate Calc'!$D$18,"")</f>
        <v/>
      </c>
      <c r="M327" s="93" t="str">
        <f t="shared" si="12"/>
        <v/>
      </c>
      <c r="N327" s="93" t="str">
        <f>IF(L327="","",IF(IFERROR((G327/60)*M327*2*'Step 1- Hrly Rate Calc'!$D$14,"")&lt;0,"N/A",IFERROR((G327/60)*M327*2*'Step 1- Hrly Rate Calc'!$D$14,"")))</f>
        <v/>
      </c>
      <c r="O327" s="77" t="str">
        <f t="shared" si="13"/>
        <v/>
      </c>
      <c r="P327" s="77" t="str">
        <f t="shared" si="14"/>
        <v/>
      </c>
    </row>
    <row r="328" spans="2:16" s="61" customFormat="1" ht="34" customHeight="1" x14ac:dyDescent="0.2">
      <c r="B328" s="77" t="str">
        <f>IF('Step 2- Activity Inventory'!B331="","",'Step 2- Activity Inventory'!B331)</f>
        <v/>
      </c>
      <c r="C328" s="77" t="str">
        <f>IF('Step 2- Activity Inventory'!C331="","",'Step 2- Activity Inventory'!C331)</f>
        <v/>
      </c>
      <c r="D328" s="88" t="str">
        <f>IF('Step 2- Activity Inventory'!E331="","",'Step 2- Activity Inventory'!E331)</f>
        <v/>
      </c>
      <c r="E328" s="88" t="str">
        <f>IF('Step 2- Activity Inventory'!F331="","",'Step 2- Activity Inventory'!F331)</f>
        <v/>
      </c>
      <c r="F328" s="88" t="str">
        <f>IF(E328="Genius","N/A",IF('Step 2- Activity Inventory'!G331="","",'Step 2- Activity Inventory'!G331))</f>
        <v/>
      </c>
      <c r="G328" s="89" t="str">
        <f>IF('Step 2- Activity Inventory'!D331="","",'Step 2- Activity Inventory'!D331)</f>
        <v/>
      </c>
      <c r="H328" s="90"/>
      <c r="I328" s="24"/>
      <c r="J328" s="24"/>
      <c r="K328" s="91"/>
      <c r="L328" s="92" t="str">
        <f>IF(OR('Step 2- Activity Inventory'!O331=6,AND('Step 2- Activity Inventory'!O331=5,E328="Genius")),'Step 1- Hrly Rate Calc'!$D$18,"")</f>
        <v/>
      </c>
      <c r="M328" s="93" t="str">
        <f t="shared" si="12"/>
        <v/>
      </c>
      <c r="N328" s="93" t="str">
        <f>IF(L328="","",IF(IFERROR((G328/60)*M328*2*'Step 1- Hrly Rate Calc'!$D$14,"")&lt;0,"N/A",IFERROR((G328/60)*M328*2*'Step 1- Hrly Rate Calc'!$D$14,"")))</f>
        <v/>
      </c>
      <c r="O328" s="77" t="str">
        <f t="shared" si="13"/>
        <v/>
      </c>
      <c r="P328" s="77" t="str">
        <f t="shared" si="14"/>
        <v/>
      </c>
    </row>
    <row r="329" spans="2:16" s="61" customFormat="1" ht="34" customHeight="1" x14ac:dyDescent="0.2">
      <c r="B329" s="77" t="str">
        <f>IF('Step 2- Activity Inventory'!B332="","",'Step 2- Activity Inventory'!B332)</f>
        <v/>
      </c>
      <c r="C329" s="77" t="str">
        <f>IF('Step 2- Activity Inventory'!C332="","",'Step 2- Activity Inventory'!C332)</f>
        <v/>
      </c>
      <c r="D329" s="88" t="str">
        <f>IF('Step 2- Activity Inventory'!E332="","",'Step 2- Activity Inventory'!E332)</f>
        <v/>
      </c>
      <c r="E329" s="88" t="str">
        <f>IF('Step 2- Activity Inventory'!F332="","",'Step 2- Activity Inventory'!F332)</f>
        <v/>
      </c>
      <c r="F329" s="88" t="str">
        <f>IF(E329="Genius","N/A",IF('Step 2- Activity Inventory'!G332="","",'Step 2- Activity Inventory'!G332))</f>
        <v/>
      </c>
      <c r="G329" s="89" t="str">
        <f>IF('Step 2- Activity Inventory'!D332="","",'Step 2- Activity Inventory'!D332)</f>
        <v/>
      </c>
      <c r="H329" s="90"/>
      <c r="I329" s="24"/>
      <c r="J329" s="24"/>
      <c r="K329" s="91"/>
      <c r="L329" s="92" t="str">
        <f>IF(OR('Step 2- Activity Inventory'!O332=6,AND('Step 2- Activity Inventory'!O332=5,E329="Genius")),'Step 1- Hrly Rate Calc'!$D$18,"")</f>
        <v/>
      </c>
      <c r="M329" s="93" t="str">
        <f t="shared" ref="M329:M392" si="15">IF(B329="","",IFERROR(K329-L329,""))</f>
        <v/>
      </c>
      <c r="N329" s="93" t="str">
        <f>IF(L329="","",IF(IFERROR((G329/60)*M329*2*'Step 1- Hrly Rate Calc'!$D$14,"")&lt;0,"N/A",IFERROR((G329/60)*M329*2*'Step 1- Hrly Rate Calc'!$D$14,"")))</f>
        <v/>
      </c>
      <c r="O329" s="77" t="str">
        <f t="shared" ref="O329:O392" si="16">IF(E329="Genius","KEEP DOING",IF(L329="","",IF(K329&gt;(L329*0.75),"KEEP DOING","STOP DOING")))</f>
        <v/>
      </c>
      <c r="P329" s="77" t="str">
        <f t="shared" ref="P329:P392" si="17">IF(L329="","",IF(O329="STOP DOING",IF(J329="Yes","Ready to Stop Doing","Not Ready"),"N/A"))</f>
        <v/>
      </c>
    </row>
    <row r="330" spans="2:16" s="61" customFormat="1" ht="34" customHeight="1" x14ac:dyDescent="0.2">
      <c r="B330" s="77" t="str">
        <f>IF('Step 2- Activity Inventory'!B333="","",'Step 2- Activity Inventory'!B333)</f>
        <v/>
      </c>
      <c r="C330" s="77" t="str">
        <f>IF('Step 2- Activity Inventory'!C333="","",'Step 2- Activity Inventory'!C333)</f>
        <v/>
      </c>
      <c r="D330" s="88" t="str">
        <f>IF('Step 2- Activity Inventory'!E333="","",'Step 2- Activity Inventory'!E333)</f>
        <v/>
      </c>
      <c r="E330" s="88" t="str">
        <f>IF('Step 2- Activity Inventory'!F333="","",'Step 2- Activity Inventory'!F333)</f>
        <v/>
      </c>
      <c r="F330" s="88" t="str">
        <f>IF(E330="Genius","N/A",IF('Step 2- Activity Inventory'!G333="","",'Step 2- Activity Inventory'!G333))</f>
        <v/>
      </c>
      <c r="G330" s="89" t="str">
        <f>IF('Step 2- Activity Inventory'!D333="","",'Step 2- Activity Inventory'!D333)</f>
        <v/>
      </c>
      <c r="H330" s="90"/>
      <c r="I330" s="24"/>
      <c r="J330" s="24"/>
      <c r="K330" s="91"/>
      <c r="L330" s="92" t="str">
        <f>IF(OR('Step 2- Activity Inventory'!O333=6,AND('Step 2- Activity Inventory'!O333=5,E330="Genius")),'Step 1- Hrly Rate Calc'!$D$18,"")</f>
        <v/>
      </c>
      <c r="M330" s="93" t="str">
        <f t="shared" si="15"/>
        <v/>
      </c>
      <c r="N330" s="93" t="str">
        <f>IF(L330="","",IF(IFERROR((G330/60)*M330*2*'Step 1- Hrly Rate Calc'!$D$14,"")&lt;0,"N/A",IFERROR((G330/60)*M330*2*'Step 1- Hrly Rate Calc'!$D$14,"")))</f>
        <v/>
      </c>
      <c r="O330" s="77" t="str">
        <f t="shared" si="16"/>
        <v/>
      </c>
      <c r="P330" s="77" t="str">
        <f t="shared" si="17"/>
        <v/>
      </c>
    </row>
    <row r="331" spans="2:16" s="61" customFormat="1" ht="34" customHeight="1" x14ac:dyDescent="0.2">
      <c r="B331" s="77" t="str">
        <f>IF('Step 2- Activity Inventory'!B334="","",'Step 2- Activity Inventory'!B334)</f>
        <v/>
      </c>
      <c r="C331" s="77" t="str">
        <f>IF('Step 2- Activity Inventory'!C334="","",'Step 2- Activity Inventory'!C334)</f>
        <v/>
      </c>
      <c r="D331" s="88" t="str">
        <f>IF('Step 2- Activity Inventory'!E334="","",'Step 2- Activity Inventory'!E334)</f>
        <v/>
      </c>
      <c r="E331" s="88" t="str">
        <f>IF('Step 2- Activity Inventory'!F334="","",'Step 2- Activity Inventory'!F334)</f>
        <v/>
      </c>
      <c r="F331" s="88" t="str">
        <f>IF(E331="Genius","N/A",IF('Step 2- Activity Inventory'!G334="","",'Step 2- Activity Inventory'!G334))</f>
        <v/>
      </c>
      <c r="G331" s="89" t="str">
        <f>IF('Step 2- Activity Inventory'!D334="","",'Step 2- Activity Inventory'!D334)</f>
        <v/>
      </c>
      <c r="H331" s="90"/>
      <c r="I331" s="24"/>
      <c r="J331" s="24"/>
      <c r="K331" s="91"/>
      <c r="L331" s="92" t="str">
        <f>IF(OR('Step 2- Activity Inventory'!O334=6,AND('Step 2- Activity Inventory'!O334=5,E331="Genius")),'Step 1- Hrly Rate Calc'!$D$18,"")</f>
        <v/>
      </c>
      <c r="M331" s="93" t="str">
        <f t="shared" si="15"/>
        <v/>
      </c>
      <c r="N331" s="93" t="str">
        <f>IF(L331="","",IF(IFERROR((G331/60)*M331*2*'Step 1- Hrly Rate Calc'!$D$14,"")&lt;0,"N/A",IFERROR((G331/60)*M331*2*'Step 1- Hrly Rate Calc'!$D$14,"")))</f>
        <v/>
      </c>
      <c r="O331" s="77" t="str">
        <f t="shared" si="16"/>
        <v/>
      </c>
      <c r="P331" s="77" t="str">
        <f t="shared" si="17"/>
        <v/>
      </c>
    </row>
    <row r="332" spans="2:16" s="61" customFormat="1" ht="34" customHeight="1" x14ac:dyDescent="0.2">
      <c r="B332" s="77" t="str">
        <f>IF('Step 2- Activity Inventory'!B335="","",'Step 2- Activity Inventory'!B335)</f>
        <v/>
      </c>
      <c r="C332" s="77" t="str">
        <f>IF('Step 2- Activity Inventory'!C335="","",'Step 2- Activity Inventory'!C335)</f>
        <v/>
      </c>
      <c r="D332" s="88" t="str">
        <f>IF('Step 2- Activity Inventory'!E335="","",'Step 2- Activity Inventory'!E335)</f>
        <v/>
      </c>
      <c r="E332" s="88" t="str">
        <f>IF('Step 2- Activity Inventory'!F335="","",'Step 2- Activity Inventory'!F335)</f>
        <v/>
      </c>
      <c r="F332" s="88" t="str">
        <f>IF(E332="Genius","N/A",IF('Step 2- Activity Inventory'!G335="","",'Step 2- Activity Inventory'!G335))</f>
        <v/>
      </c>
      <c r="G332" s="89" t="str">
        <f>IF('Step 2- Activity Inventory'!D335="","",'Step 2- Activity Inventory'!D335)</f>
        <v/>
      </c>
      <c r="H332" s="90"/>
      <c r="I332" s="24"/>
      <c r="J332" s="24"/>
      <c r="K332" s="91"/>
      <c r="L332" s="92" t="str">
        <f>IF(OR('Step 2- Activity Inventory'!O335=6,AND('Step 2- Activity Inventory'!O335=5,E332="Genius")),'Step 1- Hrly Rate Calc'!$D$18,"")</f>
        <v/>
      </c>
      <c r="M332" s="93" t="str">
        <f t="shared" si="15"/>
        <v/>
      </c>
      <c r="N332" s="93" t="str">
        <f>IF(L332="","",IF(IFERROR((G332/60)*M332*2*'Step 1- Hrly Rate Calc'!$D$14,"")&lt;0,"N/A",IFERROR((G332/60)*M332*2*'Step 1- Hrly Rate Calc'!$D$14,"")))</f>
        <v/>
      </c>
      <c r="O332" s="77" t="str">
        <f t="shared" si="16"/>
        <v/>
      </c>
      <c r="P332" s="77" t="str">
        <f t="shared" si="17"/>
        <v/>
      </c>
    </row>
    <row r="333" spans="2:16" s="61" customFormat="1" ht="34" customHeight="1" x14ac:dyDescent="0.2">
      <c r="B333" s="77" t="str">
        <f>IF('Step 2- Activity Inventory'!B336="","",'Step 2- Activity Inventory'!B336)</f>
        <v/>
      </c>
      <c r="C333" s="77" t="str">
        <f>IF('Step 2- Activity Inventory'!C336="","",'Step 2- Activity Inventory'!C336)</f>
        <v/>
      </c>
      <c r="D333" s="88" t="str">
        <f>IF('Step 2- Activity Inventory'!E336="","",'Step 2- Activity Inventory'!E336)</f>
        <v/>
      </c>
      <c r="E333" s="88" t="str">
        <f>IF('Step 2- Activity Inventory'!F336="","",'Step 2- Activity Inventory'!F336)</f>
        <v/>
      </c>
      <c r="F333" s="88" t="str">
        <f>IF(E333="Genius","N/A",IF('Step 2- Activity Inventory'!G336="","",'Step 2- Activity Inventory'!G336))</f>
        <v/>
      </c>
      <c r="G333" s="89" t="str">
        <f>IF('Step 2- Activity Inventory'!D336="","",'Step 2- Activity Inventory'!D336)</f>
        <v/>
      </c>
      <c r="H333" s="90"/>
      <c r="I333" s="24"/>
      <c r="J333" s="24"/>
      <c r="K333" s="91"/>
      <c r="L333" s="92" t="str">
        <f>IF(OR('Step 2- Activity Inventory'!O336=6,AND('Step 2- Activity Inventory'!O336=5,E333="Genius")),'Step 1- Hrly Rate Calc'!$D$18,"")</f>
        <v/>
      </c>
      <c r="M333" s="93" t="str">
        <f t="shared" si="15"/>
        <v/>
      </c>
      <c r="N333" s="93" t="str">
        <f>IF(L333="","",IF(IFERROR((G333/60)*M333*2*'Step 1- Hrly Rate Calc'!$D$14,"")&lt;0,"N/A",IFERROR((G333/60)*M333*2*'Step 1- Hrly Rate Calc'!$D$14,"")))</f>
        <v/>
      </c>
      <c r="O333" s="77" t="str">
        <f t="shared" si="16"/>
        <v/>
      </c>
      <c r="P333" s="77" t="str">
        <f t="shared" si="17"/>
        <v/>
      </c>
    </row>
    <row r="334" spans="2:16" s="61" customFormat="1" ht="34" customHeight="1" x14ac:dyDescent="0.2">
      <c r="B334" s="77" t="str">
        <f>IF('Step 2- Activity Inventory'!B337="","",'Step 2- Activity Inventory'!B337)</f>
        <v/>
      </c>
      <c r="C334" s="77" t="str">
        <f>IF('Step 2- Activity Inventory'!C337="","",'Step 2- Activity Inventory'!C337)</f>
        <v/>
      </c>
      <c r="D334" s="88" t="str">
        <f>IF('Step 2- Activity Inventory'!E337="","",'Step 2- Activity Inventory'!E337)</f>
        <v/>
      </c>
      <c r="E334" s="88" t="str">
        <f>IF('Step 2- Activity Inventory'!F337="","",'Step 2- Activity Inventory'!F337)</f>
        <v/>
      </c>
      <c r="F334" s="88" t="str">
        <f>IF(E334="Genius","N/A",IF('Step 2- Activity Inventory'!G337="","",'Step 2- Activity Inventory'!G337))</f>
        <v/>
      </c>
      <c r="G334" s="89" t="str">
        <f>IF('Step 2- Activity Inventory'!D337="","",'Step 2- Activity Inventory'!D337)</f>
        <v/>
      </c>
      <c r="H334" s="90"/>
      <c r="I334" s="24"/>
      <c r="J334" s="24"/>
      <c r="K334" s="91"/>
      <c r="L334" s="92" t="str">
        <f>IF(OR('Step 2- Activity Inventory'!O337=6,AND('Step 2- Activity Inventory'!O337=5,E334="Genius")),'Step 1- Hrly Rate Calc'!$D$18,"")</f>
        <v/>
      </c>
      <c r="M334" s="93" t="str">
        <f t="shared" si="15"/>
        <v/>
      </c>
      <c r="N334" s="93" t="str">
        <f>IF(L334="","",IF(IFERROR((G334/60)*M334*2*'Step 1- Hrly Rate Calc'!$D$14,"")&lt;0,"N/A",IFERROR((G334/60)*M334*2*'Step 1- Hrly Rate Calc'!$D$14,"")))</f>
        <v/>
      </c>
      <c r="O334" s="77" t="str">
        <f t="shared" si="16"/>
        <v/>
      </c>
      <c r="P334" s="77" t="str">
        <f t="shared" si="17"/>
        <v/>
      </c>
    </row>
    <row r="335" spans="2:16" s="61" customFormat="1" ht="34" customHeight="1" x14ac:dyDescent="0.2">
      <c r="B335" s="77" t="str">
        <f>IF('Step 2- Activity Inventory'!B338="","",'Step 2- Activity Inventory'!B338)</f>
        <v/>
      </c>
      <c r="C335" s="77" t="str">
        <f>IF('Step 2- Activity Inventory'!C338="","",'Step 2- Activity Inventory'!C338)</f>
        <v/>
      </c>
      <c r="D335" s="88" t="str">
        <f>IF('Step 2- Activity Inventory'!E338="","",'Step 2- Activity Inventory'!E338)</f>
        <v/>
      </c>
      <c r="E335" s="88" t="str">
        <f>IF('Step 2- Activity Inventory'!F338="","",'Step 2- Activity Inventory'!F338)</f>
        <v/>
      </c>
      <c r="F335" s="88" t="str">
        <f>IF(E335="Genius","N/A",IF('Step 2- Activity Inventory'!G338="","",'Step 2- Activity Inventory'!G338))</f>
        <v/>
      </c>
      <c r="G335" s="89" t="str">
        <f>IF('Step 2- Activity Inventory'!D338="","",'Step 2- Activity Inventory'!D338)</f>
        <v/>
      </c>
      <c r="H335" s="90"/>
      <c r="I335" s="24"/>
      <c r="J335" s="24"/>
      <c r="K335" s="91"/>
      <c r="L335" s="92" t="str">
        <f>IF(OR('Step 2- Activity Inventory'!O338=6,AND('Step 2- Activity Inventory'!O338=5,E335="Genius")),'Step 1- Hrly Rate Calc'!$D$18,"")</f>
        <v/>
      </c>
      <c r="M335" s="93" t="str">
        <f t="shared" si="15"/>
        <v/>
      </c>
      <c r="N335" s="93" t="str">
        <f>IF(L335="","",IF(IFERROR((G335/60)*M335*2*'Step 1- Hrly Rate Calc'!$D$14,"")&lt;0,"N/A",IFERROR((G335/60)*M335*2*'Step 1- Hrly Rate Calc'!$D$14,"")))</f>
        <v/>
      </c>
      <c r="O335" s="77" t="str">
        <f t="shared" si="16"/>
        <v/>
      </c>
      <c r="P335" s="77" t="str">
        <f t="shared" si="17"/>
        <v/>
      </c>
    </row>
    <row r="336" spans="2:16" s="61" customFormat="1" ht="34" customHeight="1" x14ac:dyDescent="0.2">
      <c r="B336" s="77" t="str">
        <f>IF('Step 2- Activity Inventory'!B339="","",'Step 2- Activity Inventory'!B339)</f>
        <v/>
      </c>
      <c r="C336" s="77" t="str">
        <f>IF('Step 2- Activity Inventory'!C339="","",'Step 2- Activity Inventory'!C339)</f>
        <v/>
      </c>
      <c r="D336" s="88" t="str">
        <f>IF('Step 2- Activity Inventory'!E339="","",'Step 2- Activity Inventory'!E339)</f>
        <v/>
      </c>
      <c r="E336" s="88" t="str">
        <f>IF('Step 2- Activity Inventory'!F339="","",'Step 2- Activity Inventory'!F339)</f>
        <v/>
      </c>
      <c r="F336" s="88" t="str">
        <f>IF(E336="Genius","N/A",IF('Step 2- Activity Inventory'!G339="","",'Step 2- Activity Inventory'!G339))</f>
        <v/>
      </c>
      <c r="G336" s="89" t="str">
        <f>IF('Step 2- Activity Inventory'!D339="","",'Step 2- Activity Inventory'!D339)</f>
        <v/>
      </c>
      <c r="H336" s="90"/>
      <c r="I336" s="24"/>
      <c r="J336" s="24"/>
      <c r="K336" s="91"/>
      <c r="L336" s="92" t="str">
        <f>IF(OR('Step 2- Activity Inventory'!O339=6,AND('Step 2- Activity Inventory'!O339=5,E336="Genius")),'Step 1- Hrly Rate Calc'!$D$18,"")</f>
        <v/>
      </c>
      <c r="M336" s="93" t="str">
        <f t="shared" si="15"/>
        <v/>
      </c>
      <c r="N336" s="93" t="str">
        <f>IF(L336="","",IF(IFERROR((G336/60)*M336*2*'Step 1- Hrly Rate Calc'!$D$14,"")&lt;0,"N/A",IFERROR((G336/60)*M336*2*'Step 1- Hrly Rate Calc'!$D$14,"")))</f>
        <v/>
      </c>
      <c r="O336" s="77" t="str">
        <f t="shared" si="16"/>
        <v/>
      </c>
      <c r="P336" s="77" t="str">
        <f t="shared" si="17"/>
        <v/>
      </c>
    </row>
    <row r="337" spans="2:16" s="61" customFormat="1" ht="34" customHeight="1" x14ac:dyDescent="0.2">
      <c r="B337" s="77" t="str">
        <f>IF('Step 2- Activity Inventory'!B340="","",'Step 2- Activity Inventory'!B340)</f>
        <v/>
      </c>
      <c r="C337" s="77" t="str">
        <f>IF('Step 2- Activity Inventory'!C340="","",'Step 2- Activity Inventory'!C340)</f>
        <v/>
      </c>
      <c r="D337" s="88" t="str">
        <f>IF('Step 2- Activity Inventory'!E340="","",'Step 2- Activity Inventory'!E340)</f>
        <v/>
      </c>
      <c r="E337" s="88" t="str">
        <f>IF('Step 2- Activity Inventory'!F340="","",'Step 2- Activity Inventory'!F340)</f>
        <v/>
      </c>
      <c r="F337" s="88" t="str">
        <f>IF(E337="Genius","N/A",IF('Step 2- Activity Inventory'!G340="","",'Step 2- Activity Inventory'!G340))</f>
        <v/>
      </c>
      <c r="G337" s="89" t="str">
        <f>IF('Step 2- Activity Inventory'!D340="","",'Step 2- Activity Inventory'!D340)</f>
        <v/>
      </c>
      <c r="H337" s="90"/>
      <c r="I337" s="24"/>
      <c r="J337" s="24"/>
      <c r="K337" s="91"/>
      <c r="L337" s="92" t="str">
        <f>IF(OR('Step 2- Activity Inventory'!O340=6,AND('Step 2- Activity Inventory'!O340=5,E337="Genius")),'Step 1- Hrly Rate Calc'!$D$18,"")</f>
        <v/>
      </c>
      <c r="M337" s="93" t="str">
        <f t="shared" si="15"/>
        <v/>
      </c>
      <c r="N337" s="93" t="str">
        <f>IF(L337="","",IF(IFERROR((G337/60)*M337*2*'Step 1- Hrly Rate Calc'!$D$14,"")&lt;0,"N/A",IFERROR((G337/60)*M337*2*'Step 1- Hrly Rate Calc'!$D$14,"")))</f>
        <v/>
      </c>
      <c r="O337" s="77" t="str">
        <f t="shared" si="16"/>
        <v/>
      </c>
      <c r="P337" s="77" t="str">
        <f t="shared" si="17"/>
        <v/>
      </c>
    </row>
    <row r="338" spans="2:16" s="61" customFormat="1" ht="34" customHeight="1" x14ac:dyDescent="0.2">
      <c r="B338" s="77" t="str">
        <f>IF('Step 2- Activity Inventory'!B341="","",'Step 2- Activity Inventory'!B341)</f>
        <v/>
      </c>
      <c r="C338" s="77" t="str">
        <f>IF('Step 2- Activity Inventory'!C341="","",'Step 2- Activity Inventory'!C341)</f>
        <v/>
      </c>
      <c r="D338" s="88" t="str">
        <f>IF('Step 2- Activity Inventory'!E341="","",'Step 2- Activity Inventory'!E341)</f>
        <v/>
      </c>
      <c r="E338" s="88" t="str">
        <f>IF('Step 2- Activity Inventory'!F341="","",'Step 2- Activity Inventory'!F341)</f>
        <v/>
      </c>
      <c r="F338" s="88" t="str">
        <f>IF(E338="Genius","N/A",IF('Step 2- Activity Inventory'!G341="","",'Step 2- Activity Inventory'!G341))</f>
        <v/>
      </c>
      <c r="G338" s="89" t="str">
        <f>IF('Step 2- Activity Inventory'!D341="","",'Step 2- Activity Inventory'!D341)</f>
        <v/>
      </c>
      <c r="H338" s="90"/>
      <c r="I338" s="24"/>
      <c r="J338" s="24"/>
      <c r="K338" s="91"/>
      <c r="L338" s="92" t="str">
        <f>IF(OR('Step 2- Activity Inventory'!O341=6,AND('Step 2- Activity Inventory'!O341=5,E338="Genius")),'Step 1- Hrly Rate Calc'!$D$18,"")</f>
        <v/>
      </c>
      <c r="M338" s="93" t="str">
        <f t="shared" si="15"/>
        <v/>
      </c>
      <c r="N338" s="93" t="str">
        <f>IF(L338="","",IF(IFERROR((G338/60)*M338*2*'Step 1- Hrly Rate Calc'!$D$14,"")&lt;0,"N/A",IFERROR((G338/60)*M338*2*'Step 1- Hrly Rate Calc'!$D$14,"")))</f>
        <v/>
      </c>
      <c r="O338" s="77" t="str">
        <f t="shared" si="16"/>
        <v/>
      </c>
      <c r="P338" s="77" t="str">
        <f t="shared" si="17"/>
        <v/>
      </c>
    </row>
    <row r="339" spans="2:16" s="61" customFormat="1" ht="34" customHeight="1" x14ac:dyDescent="0.2">
      <c r="B339" s="77" t="str">
        <f>IF('Step 2- Activity Inventory'!B342="","",'Step 2- Activity Inventory'!B342)</f>
        <v/>
      </c>
      <c r="C339" s="77" t="str">
        <f>IF('Step 2- Activity Inventory'!C342="","",'Step 2- Activity Inventory'!C342)</f>
        <v/>
      </c>
      <c r="D339" s="88" t="str">
        <f>IF('Step 2- Activity Inventory'!E342="","",'Step 2- Activity Inventory'!E342)</f>
        <v/>
      </c>
      <c r="E339" s="88" t="str">
        <f>IF('Step 2- Activity Inventory'!F342="","",'Step 2- Activity Inventory'!F342)</f>
        <v/>
      </c>
      <c r="F339" s="88" t="str">
        <f>IF(E339="Genius","N/A",IF('Step 2- Activity Inventory'!G342="","",'Step 2- Activity Inventory'!G342))</f>
        <v/>
      </c>
      <c r="G339" s="89" t="str">
        <f>IF('Step 2- Activity Inventory'!D342="","",'Step 2- Activity Inventory'!D342)</f>
        <v/>
      </c>
      <c r="H339" s="90"/>
      <c r="I339" s="24"/>
      <c r="J339" s="24"/>
      <c r="K339" s="91"/>
      <c r="L339" s="92" t="str">
        <f>IF(OR('Step 2- Activity Inventory'!O342=6,AND('Step 2- Activity Inventory'!O342=5,E339="Genius")),'Step 1- Hrly Rate Calc'!$D$18,"")</f>
        <v/>
      </c>
      <c r="M339" s="93" t="str">
        <f t="shared" si="15"/>
        <v/>
      </c>
      <c r="N339" s="93" t="str">
        <f>IF(L339="","",IF(IFERROR((G339/60)*M339*2*'Step 1- Hrly Rate Calc'!$D$14,"")&lt;0,"N/A",IFERROR((G339/60)*M339*2*'Step 1- Hrly Rate Calc'!$D$14,"")))</f>
        <v/>
      </c>
      <c r="O339" s="77" t="str">
        <f t="shared" si="16"/>
        <v/>
      </c>
      <c r="P339" s="77" t="str">
        <f t="shared" si="17"/>
        <v/>
      </c>
    </row>
    <row r="340" spans="2:16" s="61" customFormat="1" ht="34" customHeight="1" x14ac:dyDescent="0.2">
      <c r="B340" s="77" t="str">
        <f>IF('Step 2- Activity Inventory'!B343="","",'Step 2- Activity Inventory'!B343)</f>
        <v/>
      </c>
      <c r="C340" s="77" t="str">
        <f>IF('Step 2- Activity Inventory'!C343="","",'Step 2- Activity Inventory'!C343)</f>
        <v/>
      </c>
      <c r="D340" s="88" t="str">
        <f>IF('Step 2- Activity Inventory'!E343="","",'Step 2- Activity Inventory'!E343)</f>
        <v/>
      </c>
      <c r="E340" s="88" t="str">
        <f>IF('Step 2- Activity Inventory'!F343="","",'Step 2- Activity Inventory'!F343)</f>
        <v/>
      </c>
      <c r="F340" s="88" t="str">
        <f>IF(E340="Genius","N/A",IF('Step 2- Activity Inventory'!G343="","",'Step 2- Activity Inventory'!G343))</f>
        <v/>
      </c>
      <c r="G340" s="89" t="str">
        <f>IF('Step 2- Activity Inventory'!D343="","",'Step 2- Activity Inventory'!D343)</f>
        <v/>
      </c>
      <c r="H340" s="90"/>
      <c r="I340" s="24"/>
      <c r="J340" s="24"/>
      <c r="K340" s="91"/>
      <c r="L340" s="92" t="str">
        <f>IF(OR('Step 2- Activity Inventory'!O343=6,AND('Step 2- Activity Inventory'!O343=5,E340="Genius")),'Step 1- Hrly Rate Calc'!$D$18,"")</f>
        <v/>
      </c>
      <c r="M340" s="93" t="str">
        <f t="shared" si="15"/>
        <v/>
      </c>
      <c r="N340" s="93" t="str">
        <f>IF(L340="","",IF(IFERROR((G340/60)*M340*2*'Step 1- Hrly Rate Calc'!$D$14,"")&lt;0,"N/A",IFERROR((G340/60)*M340*2*'Step 1- Hrly Rate Calc'!$D$14,"")))</f>
        <v/>
      </c>
      <c r="O340" s="77" t="str">
        <f t="shared" si="16"/>
        <v/>
      </c>
      <c r="P340" s="77" t="str">
        <f t="shared" si="17"/>
        <v/>
      </c>
    </row>
    <row r="341" spans="2:16" s="61" customFormat="1" ht="34" customHeight="1" x14ac:dyDescent="0.2">
      <c r="B341" s="77" t="str">
        <f>IF('Step 2- Activity Inventory'!B344="","",'Step 2- Activity Inventory'!B344)</f>
        <v/>
      </c>
      <c r="C341" s="77" t="str">
        <f>IF('Step 2- Activity Inventory'!C344="","",'Step 2- Activity Inventory'!C344)</f>
        <v/>
      </c>
      <c r="D341" s="88" t="str">
        <f>IF('Step 2- Activity Inventory'!E344="","",'Step 2- Activity Inventory'!E344)</f>
        <v/>
      </c>
      <c r="E341" s="88" t="str">
        <f>IF('Step 2- Activity Inventory'!F344="","",'Step 2- Activity Inventory'!F344)</f>
        <v/>
      </c>
      <c r="F341" s="88" t="str">
        <f>IF(E341="Genius","N/A",IF('Step 2- Activity Inventory'!G344="","",'Step 2- Activity Inventory'!G344))</f>
        <v/>
      </c>
      <c r="G341" s="89" t="str">
        <f>IF('Step 2- Activity Inventory'!D344="","",'Step 2- Activity Inventory'!D344)</f>
        <v/>
      </c>
      <c r="H341" s="90"/>
      <c r="I341" s="24"/>
      <c r="J341" s="24"/>
      <c r="K341" s="91"/>
      <c r="L341" s="92" t="str">
        <f>IF(OR('Step 2- Activity Inventory'!O344=6,AND('Step 2- Activity Inventory'!O344=5,E341="Genius")),'Step 1- Hrly Rate Calc'!$D$18,"")</f>
        <v/>
      </c>
      <c r="M341" s="93" t="str">
        <f t="shared" si="15"/>
        <v/>
      </c>
      <c r="N341" s="93" t="str">
        <f>IF(L341="","",IF(IFERROR((G341/60)*M341*2*'Step 1- Hrly Rate Calc'!$D$14,"")&lt;0,"N/A",IFERROR((G341/60)*M341*2*'Step 1- Hrly Rate Calc'!$D$14,"")))</f>
        <v/>
      </c>
      <c r="O341" s="77" t="str">
        <f t="shared" si="16"/>
        <v/>
      </c>
      <c r="P341" s="77" t="str">
        <f t="shared" si="17"/>
        <v/>
      </c>
    </row>
    <row r="342" spans="2:16" s="61" customFormat="1" ht="34" customHeight="1" x14ac:dyDescent="0.2">
      <c r="B342" s="77" t="str">
        <f>IF('Step 2- Activity Inventory'!B345="","",'Step 2- Activity Inventory'!B345)</f>
        <v/>
      </c>
      <c r="C342" s="77" t="str">
        <f>IF('Step 2- Activity Inventory'!C345="","",'Step 2- Activity Inventory'!C345)</f>
        <v/>
      </c>
      <c r="D342" s="88" t="str">
        <f>IF('Step 2- Activity Inventory'!E345="","",'Step 2- Activity Inventory'!E345)</f>
        <v/>
      </c>
      <c r="E342" s="88" t="str">
        <f>IF('Step 2- Activity Inventory'!F345="","",'Step 2- Activity Inventory'!F345)</f>
        <v/>
      </c>
      <c r="F342" s="88" t="str">
        <f>IF(E342="Genius","N/A",IF('Step 2- Activity Inventory'!G345="","",'Step 2- Activity Inventory'!G345))</f>
        <v/>
      </c>
      <c r="G342" s="89" t="str">
        <f>IF('Step 2- Activity Inventory'!D345="","",'Step 2- Activity Inventory'!D345)</f>
        <v/>
      </c>
      <c r="H342" s="90"/>
      <c r="I342" s="24"/>
      <c r="J342" s="24"/>
      <c r="K342" s="91"/>
      <c r="L342" s="92" t="str">
        <f>IF(OR('Step 2- Activity Inventory'!O345=6,AND('Step 2- Activity Inventory'!O345=5,E342="Genius")),'Step 1- Hrly Rate Calc'!$D$18,"")</f>
        <v/>
      </c>
      <c r="M342" s="93" t="str">
        <f t="shared" si="15"/>
        <v/>
      </c>
      <c r="N342" s="93" t="str">
        <f>IF(L342="","",IF(IFERROR((G342/60)*M342*2*'Step 1- Hrly Rate Calc'!$D$14,"")&lt;0,"N/A",IFERROR((G342/60)*M342*2*'Step 1- Hrly Rate Calc'!$D$14,"")))</f>
        <v/>
      </c>
      <c r="O342" s="77" t="str">
        <f t="shared" si="16"/>
        <v/>
      </c>
      <c r="P342" s="77" t="str">
        <f t="shared" si="17"/>
        <v/>
      </c>
    </row>
    <row r="343" spans="2:16" s="61" customFormat="1" ht="34" customHeight="1" x14ac:dyDescent="0.2">
      <c r="B343" s="77" t="str">
        <f>IF('Step 2- Activity Inventory'!B346="","",'Step 2- Activity Inventory'!B346)</f>
        <v/>
      </c>
      <c r="C343" s="77" t="str">
        <f>IF('Step 2- Activity Inventory'!C346="","",'Step 2- Activity Inventory'!C346)</f>
        <v/>
      </c>
      <c r="D343" s="88" t="str">
        <f>IF('Step 2- Activity Inventory'!E346="","",'Step 2- Activity Inventory'!E346)</f>
        <v/>
      </c>
      <c r="E343" s="88" t="str">
        <f>IF('Step 2- Activity Inventory'!F346="","",'Step 2- Activity Inventory'!F346)</f>
        <v/>
      </c>
      <c r="F343" s="88" t="str">
        <f>IF(E343="Genius","N/A",IF('Step 2- Activity Inventory'!G346="","",'Step 2- Activity Inventory'!G346))</f>
        <v/>
      </c>
      <c r="G343" s="89" t="str">
        <f>IF('Step 2- Activity Inventory'!D346="","",'Step 2- Activity Inventory'!D346)</f>
        <v/>
      </c>
      <c r="H343" s="90"/>
      <c r="I343" s="24"/>
      <c r="J343" s="24"/>
      <c r="K343" s="91"/>
      <c r="L343" s="92" t="str">
        <f>IF(OR('Step 2- Activity Inventory'!O346=6,AND('Step 2- Activity Inventory'!O346=5,E343="Genius")),'Step 1- Hrly Rate Calc'!$D$18,"")</f>
        <v/>
      </c>
      <c r="M343" s="93" t="str">
        <f t="shared" si="15"/>
        <v/>
      </c>
      <c r="N343" s="93" t="str">
        <f>IF(L343="","",IF(IFERROR((G343/60)*M343*2*'Step 1- Hrly Rate Calc'!$D$14,"")&lt;0,"N/A",IFERROR((G343/60)*M343*2*'Step 1- Hrly Rate Calc'!$D$14,"")))</f>
        <v/>
      </c>
      <c r="O343" s="77" t="str">
        <f t="shared" si="16"/>
        <v/>
      </c>
      <c r="P343" s="77" t="str">
        <f t="shared" si="17"/>
        <v/>
      </c>
    </row>
    <row r="344" spans="2:16" s="61" customFormat="1" ht="34" customHeight="1" x14ac:dyDescent="0.2">
      <c r="B344" s="77" t="str">
        <f>IF('Step 2- Activity Inventory'!B347="","",'Step 2- Activity Inventory'!B347)</f>
        <v/>
      </c>
      <c r="C344" s="77" t="str">
        <f>IF('Step 2- Activity Inventory'!C347="","",'Step 2- Activity Inventory'!C347)</f>
        <v/>
      </c>
      <c r="D344" s="88" t="str">
        <f>IF('Step 2- Activity Inventory'!E347="","",'Step 2- Activity Inventory'!E347)</f>
        <v/>
      </c>
      <c r="E344" s="88" t="str">
        <f>IF('Step 2- Activity Inventory'!F347="","",'Step 2- Activity Inventory'!F347)</f>
        <v/>
      </c>
      <c r="F344" s="88" t="str">
        <f>IF(E344="Genius","N/A",IF('Step 2- Activity Inventory'!G347="","",'Step 2- Activity Inventory'!G347))</f>
        <v/>
      </c>
      <c r="G344" s="89" t="str">
        <f>IF('Step 2- Activity Inventory'!D347="","",'Step 2- Activity Inventory'!D347)</f>
        <v/>
      </c>
      <c r="H344" s="90"/>
      <c r="I344" s="24"/>
      <c r="J344" s="24"/>
      <c r="K344" s="91"/>
      <c r="L344" s="92" t="str">
        <f>IF(OR('Step 2- Activity Inventory'!O347=6,AND('Step 2- Activity Inventory'!O347=5,E344="Genius")),'Step 1- Hrly Rate Calc'!$D$18,"")</f>
        <v/>
      </c>
      <c r="M344" s="93" t="str">
        <f t="shared" si="15"/>
        <v/>
      </c>
      <c r="N344" s="93" t="str">
        <f>IF(L344="","",IF(IFERROR((G344/60)*M344*2*'Step 1- Hrly Rate Calc'!$D$14,"")&lt;0,"N/A",IFERROR((G344/60)*M344*2*'Step 1- Hrly Rate Calc'!$D$14,"")))</f>
        <v/>
      </c>
      <c r="O344" s="77" t="str">
        <f t="shared" si="16"/>
        <v/>
      </c>
      <c r="P344" s="77" t="str">
        <f t="shared" si="17"/>
        <v/>
      </c>
    </row>
    <row r="345" spans="2:16" s="61" customFormat="1" ht="34" customHeight="1" x14ac:dyDescent="0.2">
      <c r="B345" s="77" t="str">
        <f>IF('Step 2- Activity Inventory'!B348="","",'Step 2- Activity Inventory'!B348)</f>
        <v/>
      </c>
      <c r="C345" s="77" t="str">
        <f>IF('Step 2- Activity Inventory'!C348="","",'Step 2- Activity Inventory'!C348)</f>
        <v/>
      </c>
      <c r="D345" s="88" t="str">
        <f>IF('Step 2- Activity Inventory'!E348="","",'Step 2- Activity Inventory'!E348)</f>
        <v/>
      </c>
      <c r="E345" s="88" t="str">
        <f>IF('Step 2- Activity Inventory'!F348="","",'Step 2- Activity Inventory'!F348)</f>
        <v/>
      </c>
      <c r="F345" s="88" t="str">
        <f>IF(E345="Genius","N/A",IF('Step 2- Activity Inventory'!G348="","",'Step 2- Activity Inventory'!G348))</f>
        <v/>
      </c>
      <c r="G345" s="89" t="str">
        <f>IF('Step 2- Activity Inventory'!D348="","",'Step 2- Activity Inventory'!D348)</f>
        <v/>
      </c>
      <c r="H345" s="90"/>
      <c r="I345" s="24"/>
      <c r="J345" s="24"/>
      <c r="K345" s="91"/>
      <c r="L345" s="92" t="str">
        <f>IF(OR('Step 2- Activity Inventory'!O348=6,AND('Step 2- Activity Inventory'!O348=5,E345="Genius")),'Step 1- Hrly Rate Calc'!$D$18,"")</f>
        <v/>
      </c>
      <c r="M345" s="93" t="str">
        <f t="shared" si="15"/>
        <v/>
      </c>
      <c r="N345" s="93" t="str">
        <f>IF(L345="","",IF(IFERROR((G345/60)*M345*2*'Step 1- Hrly Rate Calc'!$D$14,"")&lt;0,"N/A",IFERROR((G345/60)*M345*2*'Step 1- Hrly Rate Calc'!$D$14,"")))</f>
        <v/>
      </c>
      <c r="O345" s="77" t="str">
        <f t="shared" si="16"/>
        <v/>
      </c>
      <c r="P345" s="77" t="str">
        <f t="shared" si="17"/>
        <v/>
      </c>
    </row>
    <row r="346" spans="2:16" s="61" customFormat="1" ht="34" customHeight="1" x14ac:dyDescent="0.2">
      <c r="B346" s="77" t="str">
        <f>IF('Step 2- Activity Inventory'!B349="","",'Step 2- Activity Inventory'!B349)</f>
        <v/>
      </c>
      <c r="C346" s="77" t="str">
        <f>IF('Step 2- Activity Inventory'!C349="","",'Step 2- Activity Inventory'!C349)</f>
        <v/>
      </c>
      <c r="D346" s="88" t="str">
        <f>IF('Step 2- Activity Inventory'!E349="","",'Step 2- Activity Inventory'!E349)</f>
        <v/>
      </c>
      <c r="E346" s="88" t="str">
        <f>IF('Step 2- Activity Inventory'!F349="","",'Step 2- Activity Inventory'!F349)</f>
        <v/>
      </c>
      <c r="F346" s="88" t="str">
        <f>IF(E346="Genius","N/A",IF('Step 2- Activity Inventory'!G349="","",'Step 2- Activity Inventory'!G349))</f>
        <v/>
      </c>
      <c r="G346" s="89" t="str">
        <f>IF('Step 2- Activity Inventory'!D349="","",'Step 2- Activity Inventory'!D349)</f>
        <v/>
      </c>
      <c r="H346" s="90"/>
      <c r="I346" s="24"/>
      <c r="J346" s="24"/>
      <c r="K346" s="91"/>
      <c r="L346" s="92" t="str">
        <f>IF(OR('Step 2- Activity Inventory'!O349=6,AND('Step 2- Activity Inventory'!O349=5,E346="Genius")),'Step 1- Hrly Rate Calc'!$D$18,"")</f>
        <v/>
      </c>
      <c r="M346" s="93" t="str">
        <f t="shared" si="15"/>
        <v/>
      </c>
      <c r="N346" s="93" t="str">
        <f>IF(L346="","",IF(IFERROR((G346/60)*M346*2*'Step 1- Hrly Rate Calc'!$D$14,"")&lt;0,"N/A",IFERROR((G346/60)*M346*2*'Step 1- Hrly Rate Calc'!$D$14,"")))</f>
        <v/>
      </c>
      <c r="O346" s="77" t="str">
        <f t="shared" si="16"/>
        <v/>
      </c>
      <c r="P346" s="77" t="str">
        <f t="shared" si="17"/>
        <v/>
      </c>
    </row>
    <row r="347" spans="2:16" s="61" customFormat="1" ht="34" customHeight="1" x14ac:dyDescent="0.2">
      <c r="B347" s="77" t="str">
        <f>IF('Step 2- Activity Inventory'!B350="","",'Step 2- Activity Inventory'!B350)</f>
        <v/>
      </c>
      <c r="C347" s="77" t="str">
        <f>IF('Step 2- Activity Inventory'!C350="","",'Step 2- Activity Inventory'!C350)</f>
        <v/>
      </c>
      <c r="D347" s="88" t="str">
        <f>IF('Step 2- Activity Inventory'!E350="","",'Step 2- Activity Inventory'!E350)</f>
        <v/>
      </c>
      <c r="E347" s="88" t="str">
        <f>IF('Step 2- Activity Inventory'!F350="","",'Step 2- Activity Inventory'!F350)</f>
        <v/>
      </c>
      <c r="F347" s="88" t="str">
        <f>IF(E347="Genius","N/A",IF('Step 2- Activity Inventory'!G350="","",'Step 2- Activity Inventory'!G350))</f>
        <v/>
      </c>
      <c r="G347" s="89" t="str">
        <f>IF('Step 2- Activity Inventory'!D350="","",'Step 2- Activity Inventory'!D350)</f>
        <v/>
      </c>
      <c r="H347" s="90"/>
      <c r="I347" s="24"/>
      <c r="J347" s="24"/>
      <c r="K347" s="91"/>
      <c r="L347" s="92" t="str">
        <f>IF(OR('Step 2- Activity Inventory'!O350=6,AND('Step 2- Activity Inventory'!O350=5,E347="Genius")),'Step 1- Hrly Rate Calc'!$D$18,"")</f>
        <v/>
      </c>
      <c r="M347" s="93" t="str">
        <f t="shared" si="15"/>
        <v/>
      </c>
      <c r="N347" s="93" t="str">
        <f>IF(L347="","",IF(IFERROR((G347/60)*M347*2*'Step 1- Hrly Rate Calc'!$D$14,"")&lt;0,"N/A",IFERROR((G347/60)*M347*2*'Step 1- Hrly Rate Calc'!$D$14,"")))</f>
        <v/>
      </c>
      <c r="O347" s="77" t="str">
        <f t="shared" si="16"/>
        <v/>
      </c>
      <c r="P347" s="77" t="str">
        <f t="shared" si="17"/>
        <v/>
      </c>
    </row>
    <row r="348" spans="2:16" s="61" customFormat="1" ht="34" customHeight="1" x14ac:dyDescent="0.2">
      <c r="B348" s="77" t="str">
        <f>IF('Step 2- Activity Inventory'!B351="","",'Step 2- Activity Inventory'!B351)</f>
        <v/>
      </c>
      <c r="C348" s="77" t="str">
        <f>IF('Step 2- Activity Inventory'!C351="","",'Step 2- Activity Inventory'!C351)</f>
        <v/>
      </c>
      <c r="D348" s="88" t="str">
        <f>IF('Step 2- Activity Inventory'!E351="","",'Step 2- Activity Inventory'!E351)</f>
        <v/>
      </c>
      <c r="E348" s="88" t="str">
        <f>IF('Step 2- Activity Inventory'!F351="","",'Step 2- Activity Inventory'!F351)</f>
        <v/>
      </c>
      <c r="F348" s="88" t="str">
        <f>IF(E348="Genius","N/A",IF('Step 2- Activity Inventory'!G351="","",'Step 2- Activity Inventory'!G351))</f>
        <v/>
      </c>
      <c r="G348" s="89" t="str">
        <f>IF('Step 2- Activity Inventory'!D351="","",'Step 2- Activity Inventory'!D351)</f>
        <v/>
      </c>
      <c r="H348" s="90"/>
      <c r="I348" s="24"/>
      <c r="J348" s="24"/>
      <c r="K348" s="91"/>
      <c r="L348" s="92" t="str">
        <f>IF(OR('Step 2- Activity Inventory'!O351=6,AND('Step 2- Activity Inventory'!O351=5,E348="Genius")),'Step 1- Hrly Rate Calc'!$D$18,"")</f>
        <v/>
      </c>
      <c r="M348" s="93" t="str">
        <f t="shared" si="15"/>
        <v/>
      </c>
      <c r="N348" s="93" t="str">
        <f>IF(L348="","",IF(IFERROR((G348/60)*M348*2*'Step 1- Hrly Rate Calc'!$D$14,"")&lt;0,"N/A",IFERROR((G348/60)*M348*2*'Step 1- Hrly Rate Calc'!$D$14,"")))</f>
        <v/>
      </c>
      <c r="O348" s="77" t="str">
        <f t="shared" si="16"/>
        <v/>
      </c>
      <c r="P348" s="77" t="str">
        <f t="shared" si="17"/>
        <v/>
      </c>
    </row>
    <row r="349" spans="2:16" s="61" customFormat="1" ht="34" customHeight="1" x14ac:dyDescent="0.2">
      <c r="B349" s="77" t="str">
        <f>IF('Step 2- Activity Inventory'!B352="","",'Step 2- Activity Inventory'!B352)</f>
        <v/>
      </c>
      <c r="C349" s="77" t="str">
        <f>IF('Step 2- Activity Inventory'!C352="","",'Step 2- Activity Inventory'!C352)</f>
        <v/>
      </c>
      <c r="D349" s="88" t="str">
        <f>IF('Step 2- Activity Inventory'!E352="","",'Step 2- Activity Inventory'!E352)</f>
        <v/>
      </c>
      <c r="E349" s="88" t="str">
        <f>IF('Step 2- Activity Inventory'!F352="","",'Step 2- Activity Inventory'!F352)</f>
        <v/>
      </c>
      <c r="F349" s="88" t="str">
        <f>IF(E349="Genius","N/A",IF('Step 2- Activity Inventory'!G352="","",'Step 2- Activity Inventory'!G352))</f>
        <v/>
      </c>
      <c r="G349" s="89" t="str">
        <f>IF('Step 2- Activity Inventory'!D352="","",'Step 2- Activity Inventory'!D352)</f>
        <v/>
      </c>
      <c r="H349" s="90"/>
      <c r="I349" s="24"/>
      <c r="J349" s="24"/>
      <c r="K349" s="91"/>
      <c r="L349" s="92" t="str">
        <f>IF(OR('Step 2- Activity Inventory'!O352=6,AND('Step 2- Activity Inventory'!O352=5,E349="Genius")),'Step 1- Hrly Rate Calc'!$D$18,"")</f>
        <v/>
      </c>
      <c r="M349" s="93" t="str">
        <f t="shared" si="15"/>
        <v/>
      </c>
      <c r="N349" s="93" t="str">
        <f>IF(L349="","",IF(IFERROR((G349/60)*M349*2*'Step 1- Hrly Rate Calc'!$D$14,"")&lt;0,"N/A",IFERROR((G349/60)*M349*2*'Step 1- Hrly Rate Calc'!$D$14,"")))</f>
        <v/>
      </c>
      <c r="O349" s="77" t="str">
        <f t="shared" si="16"/>
        <v/>
      </c>
      <c r="P349" s="77" t="str">
        <f t="shared" si="17"/>
        <v/>
      </c>
    </row>
    <row r="350" spans="2:16" s="61" customFormat="1" ht="34" customHeight="1" x14ac:dyDescent="0.2">
      <c r="B350" s="77" t="str">
        <f>IF('Step 2- Activity Inventory'!B353="","",'Step 2- Activity Inventory'!B353)</f>
        <v/>
      </c>
      <c r="C350" s="77" t="str">
        <f>IF('Step 2- Activity Inventory'!C353="","",'Step 2- Activity Inventory'!C353)</f>
        <v/>
      </c>
      <c r="D350" s="88" t="str">
        <f>IF('Step 2- Activity Inventory'!E353="","",'Step 2- Activity Inventory'!E353)</f>
        <v/>
      </c>
      <c r="E350" s="88" t="str">
        <f>IF('Step 2- Activity Inventory'!F353="","",'Step 2- Activity Inventory'!F353)</f>
        <v/>
      </c>
      <c r="F350" s="88" t="str">
        <f>IF(E350="Genius","N/A",IF('Step 2- Activity Inventory'!G353="","",'Step 2- Activity Inventory'!G353))</f>
        <v/>
      </c>
      <c r="G350" s="89" t="str">
        <f>IF('Step 2- Activity Inventory'!D353="","",'Step 2- Activity Inventory'!D353)</f>
        <v/>
      </c>
      <c r="H350" s="90"/>
      <c r="I350" s="24"/>
      <c r="J350" s="24"/>
      <c r="K350" s="91"/>
      <c r="L350" s="92" t="str">
        <f>IF(OR('Step 2- Activity Inventory'!O353=6,AND('Step 2- Activity Inventory'!O353=5,E350="Genius")),'Step 1- Hrly Rate Calc'!$D$18,"")</f>
        <v/>
      </c>
      <c r="M350" s="93" t="str">
        <f t="shared" si="15"/>
        <v/>
      </c>
      <c r="N350" s="93" t="str">
        <f>IF(L350="","",IF(IFERROR((G350/60)*M350*2*'Step 1- Hrly Rate Calc'!$D$14,"")&lt;0,"N/A",IFERROR((G350/60)*M350*2*'Step 1- Hrly Rate Calc'!$D$14,"")))</f>
        <v/>
      </c>
      <c r="O350" s="77" t="str">
        <f t="shared" si="16"/>
        <v/>
      </c>
      <c r="P350" s="77" t="str">
        <f t="shared" si="17"/>
        <v/>
      </c>
    </row>
    <row r="351" spans="2:16" s="61" customFormat="1" ht="34" customHeight="1" x14ac:dyDescent="0.2">
      <c r="B351" s="77" t="str">
        <f>IF('Step 2- Activity Inventory'!B354="","",'Step 2- Activity Inventory'!B354)</f>
        <v/>
      </c>
      <c r="C351" s="77" t="str">
        <f>IF('Step 2- Activity Inventory'!C354="","",'Step 2- Activity Inventory'!C354)</f>
        <v/>
      </c>
      <c r="D351" s="88" t="str">
        <f>IF('Step 2- Activity Inventory'!E354="","",'Step 2- Activity Inventory'!E354)</f>
        <v/>
      </c>
      <c r="E351" s="88" t="str">
        <f>IF('Step 2- Activity Inventory'!F354="","",'Step 2- Activity Inventory'!F354)</f>
        <v/>
      </c>
      <c r="F351" s="88" t="str">
        <f>IF(E351="Genius","N/A",IF('Step 2- Activity Inventory'!G354="","",'Step 2- Activity Inventory'!G354))</f>
        <v/>
      </c>
      <c r="G351" s="89" t="str">
        <f>IF('Step 2- Activity Inventory'!D354="","",'Step 2- Activity Inventory'!D354)</f>
        <v/>
      </c>
      <c r="H351" s="90"/>
      <c r="I351" s="24"/>
      <c r="J351" s="24"/>
      <c r="K351" s="91"/>
      <c r="L351" s="92" t="str">
        <f>IF(OR('Step 2- Activity Inventory'!O354=6,AND('Step 2- Activity Inventory'!O354=5,E351="Genius")),'Step 1- Hrly Rate Calc'!$D$18,"")</f>
        <v/>
      </c>
      <c r="M351" s="93" t="str">
        <f t="shared" si="15"/>
        <v/>
      </c>
      <c r="N351" s="93" t="str">
        <f>IF(L351="","",IF(IFERROR((G351/60)*M351*2*'Step 1- Hrly Rate Calc'!$D$14,"")&lt;0,"N/A",IFERROR((G351/60)*M351*2*'Step 1- Hrly Rate Calc'!$D$14,"")))</f>
        <v/>
      </c>
      <c r="O351" s="77" t="str">
        <f t="shared" si="16"/>
        <v/>
      </c>
      <c r="P351" s="77" t="str">
        <f t="shared" si="17"/>
        <v/>
      </c>
    </row>
    <row r="352" spans="2:16" s="61" customFormat="1" ht="34" customHeight="1" x14ac:dyDescent="0.2">
      <c r="B352" s="77" t="str">
        <f>IF('Step 2- Activity Inventory'!B355="","",'Step 2- Activity Inventory'!B355)</f>
        <v/>
      </c>
      <c r="C352" s="77" t="str">
        <f>IF('Step 2- Activity Inventory'!C355="","",'Step 2- Activity Inventory'!C355)</f>
        <v/>
      </c>
      <c r="D352" s="88" t="str">
        <f>IF('Step 2- Activity Inventory'!E355="","",'Step 2- Activity Inventory'!E355)</f>
        <v/>
      </c>
      <c r="E352" s="88" t="str">
        <f>IF('Step 2- Activity Inventory'!F355="","",'Step 2- Activity Inventory'!F355)</f>
        <v/>
      </c>
      <c r="F352" s="88" t="str">
        <f>IF(E352="Genius","N/A",IF('Step 2- Activity Inventory'!G355="","",'Step 2- Activity Inventory'!G355))</f>
        <v/>
      </c>
      <c r="G352" s="89" t="str">
        <f>IF('Step 2- Activity Inventory'!D355="","",'Step 2- Activity Inventory'!D355)</f>
        <v/>
      </c>
      <c r="H352" s="90"/>
      <c r="I352" s="24"/>
      <c r="J352" s="24"/>
      <c r="K352" s="91"/>
      <c r="L352" s="92" t="str">
        <f>IF(OR('Step 2- Activity Inventory'!O355=6,AND('Step 2- Activity Inventory'!O355=5,E352="Genius")),'Step 1- Hrly Rate Calc'!$D$18,"")</f>
        <v/>
      </c>
      <c r="M352" s="93" t="str">
        <f t="shared" si="15"/>
        <v/>
      </c>
      <c r="N352" s="93" t="str">
        <f>IF(L352="","",IF(IFERROR((G352/60)*M352*2*'Step 1- Hrly Rate Calc'!$D$14,"")&lt;0,"N/A",IFERROR((G352/60)*M352*2*'Step 1- Hrly Rate Calc'!$D$14,"")))</f>
        <v/>
      </c>
      <c r="O352" s="77" t="str">
        <f t="shared" si="16"/>
        <v/>
      </c>
      <c r="P352" s="77" t="str">
        <f t="shared" si="17"/>
        <v/>
      </c>
    </row>
    <row r="353" spans="2:16" s="61" customFormat="1" ht="34" customHeight="1" x14ac:dyDescent="0.2">
      <c r="B353" s="77" t="str">
        <f>IF('Step 2- Activity Inventory'!B356="","",'Step 2- Activity Inventory'!B356)</f>
        <v/>
      </c>
      <c r="C353" s="77" t="str">
        <f>IF('Step 2- Activity Inventory'!C356="","",'Step 2- Activity Inventory'!C356)</f>
        <v/>
      </c>
      <c r="D353" s="88" t="str">
        <f>IF('Step 2- Activity Inventory'!E356="","",'Step 2- Activity Inventory'!E356)</f>
        <v/>
      </c>
      <c r="E353" s="88" t="str">
        <f>IF('Step 2- Activity Inventory'!F356="","",'Step 2- Activity Inventory'!F356)</f>
        <v/>
      </c>
      <c r="F353" s="88" t="str">
        <f>IF(E353="Genius","N/A",IF('Step 2- Activity Inventory'!G356="","",'Step 2- Activity Inventory'!G356))</f>
        <v/>
      </c>
      <c r="G353" s="89" t="str">
        <f>IF('Step 2- Activity Inventory'!D356="","",'Step 2- Activity Inventory'!D356)</f>
        <v/>
      </c>
      <c r="H353" s="90"/>
      <c r="I353" s="24"/>
      <c r="J353" s="24"/>
      <c r="K353" s="91"/>
      <c r="L353" s="92" t="str">
        <f>IF(OR('Step 2- Activity Inventory'!O356=6,AND('Step 2- Activity Inventory'!O356=5,E353="Genius")),'Step 1- Hrly Rate Calc'!$D$18,"")</f>
        <v/>
      </c>
      <c r="M353" s="93" t="str">
        <f t="shared" si="15"/>
        <v/>
      </c>
      <c r="N353" s="93" t="str">
        <f>IF(L353="","",IF(IFERROR((G353/60)*M353*2*'Step 1- Hrly Rate Calc'!$D$14,"")&lt;0,"N/A",IFERROR((G353/60)*M353*2*'Step 1- Hrly Rate Calc'!$D$14,"")))</f>
        <v/>
      </c>
      <c r="O353" s="77" t="str">
        <f t="shared" si="16"/>
        <v/>
      </c>
      <c r="P353" s="77" t="str">
        <f t="shared" si="17"/>
        <v/>
      </c>
    </row>
    <row r="354" spans="2:16" s="61" customFormat="1" ht="34" customHeight="1" x14ac:dyDescent="0.2">
      <c r="B354" s="77" t="str">
        <f>IF('Step 2- Activity Inventory'!B357="","",'Step 2- Activity Inventory'!B357)</f>
        <v/>
      </c>
      <c r="C354" s="77" t="str">
        <f>IF('Step 2- Activity Inventory'!C357="","",'Step 2- Activity Inventory'!C357)</f>
        <v/>
      </c>
      <c r="D354" s="88" t="str">
        <f>IF('Step 2- Activity Inventory'!E357="","",'Step 2- Activity Inventory'!E357)</f>
        <v/>
      </c>
      <c r="E354" s="88" t="str">
        <f>IF('Step 2- Activity Inventory'!F357="","",'Step 2- Activity Inventory'!F357)</f>
        <v/>
      </c>
      <c r="F354" s="88" t="str">
        <f>IF(E354="Genius","N/A",IF('Step 2- Activity Inventory'!G357="","",'Step 2- Activity Inventory'!G357))</f>
        <v/>
      </c>
      <c r="G354" s="89" t="str">
        <f>IF('Step 2- Activity Inventory'!D357="","",'Step 2- Activity Inventory'!D357)</f>
        <v/>
      </c>
      <c r="H354" s="90"/>
      <c r="I354" s="24"/>
      <c r="J354" s="24"/>
      <c r="K354" s="91"/>
      <c r="L354" s="92" t="str">
        <f>IF(OR('Step 2- Activity Inventory'!O357=6,AND('Step 2- Activity Inventory'!O357=5,E354="Genius")),'Step 1- Hrly Rate Calc'!$D$18,"")</f>
        <v/>
      </c>
      <c r="M354" s="93" t="str">
        <f t="shared" si="15"/>
        <v/>
      </c>
      <c r="N354" s="93" t="str">
        <f>IF(L354="","",IF(IFERROR((G354/60)*M354*2*'Step 1- Hrly Rate Calc'!$D$14,"")&lt;0,"N/A",IFERROR((G354/60)*M354*2*'Step 1- Hrly Rate Calc'!$D$14,"")))</f>
        <v/>
      </c>
      <c r="O354" s="77" t="str">
        <f t="shared" si="16"/>
        <v/>
      </c>
      <c r="P354" s="77" t="str">
        <f t="shared" si="17"/>
        <v/>
      </c>
    </row>
    <row r="355" spans="2:16" s="61" customFormat="1" ht="34" customHeight="1" x14ac:dyDescent="0.2">
      <c r="B355" s="77" t="str">
        <f>IF('Step 2- Activity Inventory'!B358="","",'Step 2- Activity Inventory'!B358)</f>
        <v/>
      </c>
      <c r="C355" s="77" t="str">
        <f>IF('Step 2- Activity Inventory'!C358="","",'Step 2- Activity Inventory'!C358)</f>
        <v/>
      </c>
      <c r="D355" s="88" t="str">
        <f>IF('Step 2- Activity Inventory'!E358="","",'Step 2- Activity Inventory'!E358)</f>
        <v/>
      </c>
      <c r="E355" s="88" t="str">
        <f>IF('Step 2- Activity Inventory'!F358="","",'Step 2- Activity Inventory'!F358)</f>
        <v/>
      </c>
      <c r="F355" s="88" t="str">
        <f>IF(E355="Genius","N/A",IF('Step 2- Activity Inventory'!G358="","",'Step 2- Activity Inventory'!G358))</f>
        <v/>
      </c>
      <c r="G355" s="89" t="str">
        <f>IF('Step 2- Activity Inventory'!D358="","",'Step 2- Activity Inventory'!D358)</f>
        <v/>
      </c>
      <c r="H355" s="90"/>
      <c r="I355" s="24"/>
      <c r="J355" s="24"/>
      <c r="K355" s="91"/>
      <c r="L355" s="92" t="str">
        <f>IF(OR('Step 2- Activity Inventory'!O358=6,AND('Step 2- Activity Inventory'!O358=5,E355="Genius")),'Step 1- Hrly Rate Calc'!$D$18,"")</f>
        <v/>
      </c>
      <c r="M355" s="93" t="str">
        <f t="shared" si="15"/>
        <v/>
      </c>
      <c r="N355" s="93" t="str">
        <f>IF(L355="","",IF(IFERROR((G355/60)*M355*2*'Step 1- Hrly Rate Calc'!$D$14,"")&lt;0,"N/A",IFERROR((G355/60)*M355*2*'Step 1- Hrly Rate Calc'!$D$14,"")))</f>
        <v/>
      </c>
      <c r="O355" s="77" t="str">
        <f t="shared" si="16"/>
        <v/>
      </c>
      <c r="P355" s="77" t="str">
        <f t="shared" si="17"/>
        <v/>
      </c>
    </row>
    <row r="356" spans="2:16" s="61" customFormat="1" ht="34" customHeight="1" x14ac:dyDescent="0.2">
      <c r="B356" s="77" t="str">
        <f>IF('Step 2- Activity Inventory'!B359="","",'Step 2- Activity Inventory'!B359)</f>
        <v/>
      </c>
      <c r="C356" s="77" t="str">
        <f>IF('Step 2- Activity Inventory'!C359="","",'Step 2- Activity Inventory'!C359)</f>
        <v/>
      </c>
      <c r="D356" s="88" t="str">
        <f>IF('Step 2- Activity Inventory'!E359="","",'Step 2- Activity Inventory'!E359)</f>
        <v/>
      </c>
      <c r="E356" s="88" t="str">
        <f>IF('Step 2- Activity Inventory'!F359="","",'Step 2- Activity Inventory'!F359)</f>
        <v/>
      </c>
      <c r="F356" s="88" t="str">
        <f>IF(E356="Genius","N/A",IF('Step 2- Activity Inventory'!G359="","",'Step 2- Activity Inventory'!G359))</f>
        <v/>
      </c>
      <c r="G356" s="89" t="str">
        <f>IF('Step 2- Activity Inventory'!D359="","",'Step 2- Activity Inventory'!D359)</f>
        <v/>
      </c>
      <c r="H356" s="90"/>
      <c r="I356" s="24"/>
      <c r="J356" s="24"/>
      <c r="K356" s="91"/>
      <c r="L356" s="92" t="str">
        <f>IF(OR('Step 2- Activity Inventory'!O359=6,AND('Step 2- Activity Inventory'!O359=5,E356="Genius")),'Step 1- Hrly Rate Calc'!$D$18,"")</f>
        <v/>
      </c>
      <c r="M356" s="93" t="str">
        <f t="shared" si="15"/>
        <v/>
      </c>
      <c r="N356" s="93" t="str">
        <f>IF(L356="","",IF(IFERROR((G356/60)*M356*2*'Step 1- Hrly Rate Calc'!$D$14,"")&lt;0,"N/A",IFERROR((G356/60)*M356*2*'Step 1- Hrly Rate Calc'!$D$14,"")))</f>
        <v/>
      </c>
      <c r="O356" s="77" t="str">
        <f t="shared" si="16"/>
        <v/>
      </c>
      <c r="P356" s="77" t="str">
        <f t="shared" si="17"/>
        <v/>
      </c>
    </row>
    <row r="357" spans="2:16" s="61" customFormat="1" ht="34" customHeight="1" x14ac:dyDescent="0.2">
      <c r="B357" s="77" t="str">
        <f>IF('Step 2- Activity Inventory'!B360="","",'Step 2- Activity Inventory'!B360)</f>
        <v/>
      </c>
      <c r="C357" s="77" t="str">
        <f>IF('Step 2- Activity Inventory'!C360="","",'Step 2- Activity Inventory'!C360)</f>
        <v/>
      </c>
      <c r="D357" s="88" t="str">
        <f>IF('Step 2- Activity Inventory'!E360="","",'Step 2- Activity Inventory'!E360)</f>
        <v/>
      </c>
      <c r="E357" s="88" t="str">
        <f>IF('Step 2- Activity Inventory'!F360="","",'Step 2- Activity Inventory'!F360)</f>
        <v/>
      </c>
      <c r="F357" s="88" t="str">
        <f>IF(E357="Genius","N/A",IF('Step 2- Activity Inventory'!G360="","",'Step 2- Activity Inventory'!G360))</f>
        <v/>
      </c>
      <c r="G357" s="89" t="str">
        <f>IF('Step 2- Activity Inventory'!D360="","",'Step 2- Activity Inventory'!D360)</f>
        <v/>
      </c>
      <c r="H357" s="90"/>
      <c r="I357" s="24"/>
      <c r="J357" s="24"/>
      <c r="K357" s="91"/>
      <c r="L357" s="92" t="str">
        <f>IF(OR('Step 2- Activity Inventory'!O360=6,AND('Step 2- Activity Inventory'!O360=5,E357="Genius")),'Step 1- Hrly Rate Calc'!$D$18,"")</f>
        <v/>
      </c>
      <c r="M357" s="93" t="str">
        <f t="shared" si="15"/>
        <v/>
      </c>
      <c r="N357" s="93" t="str">
        <f>IF(L357="","",IF(IFERROR((G357/60)*M357*2*'Step 1- Hrly Rate Calc'!$D$14,"")&lt;0,"N/A",IFERROR((G357/60)*M357*2*'Step 1- Hrly Rate Calc'!$D$14,"")))</f>
        <v/>
      </c>
      <c r="O357" s="77" t="str">
        <f t="shared" si="16"/>
        <v/>
      </c>
      <c r="P357" s="77" t="str">
        <f t="shared" si="17"/>
        <v/>
      </c>
    </row>
    <row r="358" spans="2:16" s="61" customFormat="1" ht="34" customHeight="1" x14ac:dyDescent="0.2">
      <c r="B358" s="77" t="str">
        <f>IF('Step 2- Activity Inventory'!B361="","",'Step 2- Activity Inventory'!B361)</f>
        <v/>
      </c>
      <c r="C358" s="77" t="str">
        <f>IF('Step 2- Activity Inventory'!C361="","",'Step 2- Activity Inventory'!C361)</f>
        <v/>
      </c>
      <c r="D358" s="88" t="str">
        <f>IF('Step 2- Activity Inventory'!E361="","",'Step 2- Activity Inventory'!E361)</f>
        <v/>
      </c>
      <c r="E358" s="88" t="str">
        <f>IF('Step 2- Activity Inventory'!F361="","",'Step 2- Activity Inventory'!F361)</f>
        <v/>
      </c>
      <c r="F358" s="88" t="str">
        <f>IF(E358="Genius","N/A",IF('Step 2- Activity Inventory'!G361="","",'Step 2- Activity Inventory'!G361))</f>
        <v/>
      </c>
      <c r="G358" s="89" t="str">
        <f>IF('Step 2- Activity Inventory'!D361="","",'Step 2- Activity Inventory'!D361)</f>
        <v/>
      </c>
      <c r="H358" s="90"/>
      <c r="I358" s="24"/>
      <c r="J358" s="24"/>
      <c r="K358" s="91"/>
      <c r="L358" s="92" t="str">
        <f>IF(OR('Step 2- Activity Inventory'!O361=6,AND('Step 2- Activity Inventory'!O361=5,E358="Genius")),'Step 1- Hrly Rate Calc'!$D$18,"")</f>
        <v/>
      </c>
      <c r="M358" s="93" t="str">
        <f t="shared" si="15"/>
        <v/>
      </c>
      <c r="N358" s="93" t="str">
        <f>IF(L358="","",IF(IFERROR((G358/60)*M358*2*'Step 1- Hrly Rate Calc'!$D$14,"")&lt;0,"N/A",IFERROR((G358/60)*M358*2*'Step 1- Hrly Rate Calc'!$D$14,"")))</f>
        <v/>
      </c>
      <c r="O358" s="77" t="str">
        <f t="shared" si="16"/>
        <v/>
      </c>
      <c r="P358" s="77" t="str">
        <f t="shared" si="17"/>
        <v/>
      </c>
    </row>
    <row r="359" spans="2:16" s="61" customFormat="1" ht="34" customHeight="1" x14ac:dyDescent="0.2">
      <c r="B359" s="77" t="str">
        <f>IF('Step 2- Activity Inventory'!B362="","",'Step 2- Activity Inventory'!B362)</f>
        <v/>
      </c>
      <c r="C359" s="77" t="str">
        <f>IF('Step 2- Activity Inventory'!C362="","",'Step 2- Activity Inventory'!C362)</f>
        <v/>
      </c>
      <c r="D359" s="88" t="str">
        <f>IF('Step 2- Activity Inventory'!E362="","",'Step 2- Activity Inventory'!E362)</f>
        <v/>
      </c>
      <c r="E359" s="88" t="str">
        <f>IF('Step 2- Activity Inventory'!F362="","",'Step 2- Activity Inventory'!F362)</f>
        <v/>
      </c>
      <c r="F359" s="88" t="str">
        <f>IF(E359="Genius","N/A",IF('Step 2- Activity Inventory'!G362="","",'Step 2- Activity Inventory'!G362))</f>
        <v/>
      </c>
      <c r="G359" s="89" t="str">
        <f>IF('Step 2- Activity Inventory'!D362="","",'Step 2- Activity Inventory'!D362)</f>
        <v/>
      </c>
      <c r="H359" s="90"/>
      <c r="I359" s="24"/>
      <c r="J359" s="24"/>
      <c r="K359" s="91"/>
      <c r="L359" s="92" t="str">
        <f>IF(OR('Step 2- Activity Inventory'!O362=6,AND('Step 2- Activity Inventory'!O362=5,E359="Genius")),'Step 1- Hrly Rate Calc'!$D$18,"")</f>
        <v/>
      </c>
      <c r="M359" s="93" t="str">
        <f t="shared" si="15"/>
        <v/>
      </c>
      <c r="N359" s="93" t="str">
        <f>IF(L359="","",IF(IFERROR((G359/60)*M359*2*'Step 1- Hrly Rate Calc'!$D$14,"")&lt;0,"N/A",IFERROR((G359/60)*M359*2*'Step 1- Hrly Rate Calc'!$D$14,"")))</f>
        <v/>
      </c>
      <c r="O359" s="77" t="str">
        <f t="shared" si="16"/>
        <v/>
      </c>
      <c r="P359" s="77" t="str">
        <f t="shared" si="17"/>
        <v/>
      </c>
    </row>
    <row r="360" spans="2:16" s="61" customFormat="1" ht="34" customHeight="1" x14ac:dyDescent="0.2">
      <c r="B360" s="77" t="str">
        <f>IF('Step 2- Activity Inventory'!B363="","",'Step 2- Activity Inventory'!B363)</f>
        <v/>
      </c>
      <c r="C360" s="77" t="str">
        <f>IF('Step 2- Activity Inventory'!C363="","",'Step 2- Activity Inventory'!C363)</f>
        <v/>
      </c>
      <c r="D360" s="88" t="str">
        <f>IF('Step 2- Activity Inventory'!E363="","",'Step 2- Activity Inventory'!E363)</f>
        <v/>
      </c>
      <c r="E360" s="88" t="str">
        <f>IF('Step 2- Activity Inventory'!F363="","",'Step 2- Activity Inventory'!F363)</f>
        <v/>
      </c>
      <c r="F360" s="88" t="str">
        <f>IF(E360="Genius","N/A",IF('Step 2- Activity Inventory'!G363="","",'Step 2- Activity Inventory'!G363))</f>
        <v/>
      </c>
      <c r="G360" s="89" t="str">
        <f>IF('Step 2- Activity Inventory'!D363="","",'Step 2- Activity Inventory'!D363)</f>
        <v/>
      </c>
      <c r="H360" s="90"/>
      <c r="I360" s="24"/>
      <c r="J360" s="24"/>
      <c r="K360" s="91"/>
      <c r="L360" s="92" t="str">
        <f>IF(OR('Step 2- Activity Inventory'!O363=6,AND('Step 2- Activity Inventory'!O363=5,E360="Genius")),'Step 1- Hrly Rate Calc'!$D$18,"")</f>
        <v/>
      </c>
      <c r="M360" s="93" t="str">
        <f t="shared" si="15"/>
        <v/>
      </c>
      <c r="N360" s="93" t="str">
        <f>IF(L360="","",IF(IFERROR((G360/60)*M360*2*'Step 1- Hrly Rate Calc'!$D$14,"")&lt;0,"N/A",IFERROR((G360/60)*M360*2*'Step 1- Hrly Rate Calc'!$D$14,"")))</f>
        <v/>
      </c>
      <c r="O360" s="77" t="str">
        <f t="shared" si="16"/>
        <v/>
      </c>
      <c r="P360" s="77" t="str">
        <f t="shared" si="17"/>
        <v/>
      </c>
    </row>
    <row r="361" spans="2:16" s="61" customFormat="1" ht="34" customHeight="1" x14ac:dyDescent="0.2">
      <c r="B361" s="77" t="str">
        <f>IF('Step 2- Activity Inventory'!B364="","",'Step 2- Activity Inventory'!B364)</f>
        <v/>
      </c>
      <c r="C361" s="77" t="str">
        <f>IF('Step 2- Activity Inventory'!C364="","",'Step 2- Activity Inventory'!C364)</f>
        <v/>
      </c>
      <c r="D361" s="88" t="str">
        <f>IF('Step 2- Activity Inventory'!E364="","",'Step 2- Activity Inventory'!E364)</f>
        <v/>
      </c>
      <c r="E361" s="88" t="str">
        <f>IF('Step 2- Activity Inventory'!F364="","",'Step 2- Activity Inventory'!F364)</f>
        <v/>
      </c>
      <c r="F361" s="88" t="str">
        <f>IF(E361="Genius","N/A",IF('Step 2- Activity Inventory'!G364="","",'Step 2- Activity Inventory'!G364))</f>
        <v/>
      </c>
      <c r="G361" s="89" t="str">
        <f>IF('Step 2- Activity Inventory'!D364="","",'Step 2- Activity Inventory'!D364)</f>
        <v/>
      </c>
      <c r="H361" s="90"/>
      <c r="I361" s="24"/>
      <c r="J361" s="24"/>
      <c r="K361" s="91"/>
      <c r="L361" s="92" t="str">
        <f>IF(OR('Step 2- Activity Inventory'!O364=6,AND('Step 2- Activity Inventory'!O364=5,E361="Genius")),'Step 1- Hrly Rate Calc'!$D$18,"")</f>
        <v/>
      </c>
      <c r="M361" s="93" t="str">
        <f t="shared" si="15"/>
        <v/>
      </c>
      <c r="N361" s="93" t="str">
        <f>IF(L361="","",IF(IFERROR((G361/60)*M361*2*'Step 1- Hrly Rate Calc'!$D$14,"")&lt;0,"N/A",IFERROR((G361/60)*M361*2*'Step 1- Hrly Rate Calc'!$D$14,"")))</f>
        <v/>
      </c>
      <c r="O361" s="77" t="str">
        <f t="shared" si="16"/>
        <v/>
      </c>
      <c r="P361" s="77" t="str">
        <f t="shared" si="17"/>
        <v/>
      </c>
    </row>
    <row r="362" spans="2:16" s="61" customFormat="1" ht="34" customHeight="1" x14ac:dyDescent="0.2">
      <c r="B362" s="77" t="str">
        <f>IF('Step 2- Activity Inventory'!B365="","",'Step 2- Activity Inventory'!B365)</f>
        <v/>
      </c>
      <c r="C362" s="77" t="str">
        <f>IF('Step 2- Activity Inventory'!C365="","",'Step 2- Activity Inventory'!C365)</f>
        <v/>
      </c>
      <c r="D362" s="88" t="str">
        <f>IF('Step 2- Activity Inventory'!E365="","",'Step 2- Activity Inventory'!E365)</f>
        <v/>
      </c>
      <c r="E362" s="88" t="str">
        <f>IF('Step 2- Activity Inventory'!F365="","",'Step 2- Activity Inventory'!F365)</f>
        <v/>
      </c>
      <c r="F362" s="88" t="str">
        <f>IF(E362="Genius","N/A",IF('Step 2- Activity Inventory'!G365="","",'Step 2- Activity Inventory'!G365))</f>
        <v/>
      </c>
      <c r="G362" s="89" t="str">
        <f>IF('Step 2- Activity Inventory'!D365="","",'Step 2- Activity Inventory'!D365)</f>
        <v/>
      </c>
      <c r="H362" s="90"/>
      <c r="I362" s="24"/>
      <c r="J362" s="24"/>
      <c r="K362" s="91"/>
      <c r="L362" s="92" t="str">
        <f>IF(OR('Step 2- Activity Inventory'!O365=6,AND('Step 2- Activity Inventory'!O365=5,E362="Genius")),'Step 1- Hrly Rate Calc'!$D$18,"")</f>
        <v/>
      </c>
      <c r="M362" s="93" t="str">
        <f t="shared" si="15"/>
        <v/>
      </c>
      <c r="N362" s="93" t="str">
        <f>IF(L362="","",IF(IFERROR((G362/60)*M362*2*'Step 1- Hrly Rate Calc'!$D$14,"")&lt;0,"N/A",IFERROR((G362/60)*M362*2*'Step 1- Hrly Rate Calc'!$D$14,"")))</f>
        <v/>
      </c>
      <c r="O362" s="77" t="str">
        <f t="shared" si="16"/>
        <v/>
      </c>
      <c r="P362" s="77" t="str">
        <f t="shared" si="17"/>
        <v/>
      </c>
    </row>
    <row r="363" spans="2:16" s="61" customFormat="1" ht="34" customHeight="1" x14ac:dyDescent="0.2">
      <c r="B363" s="77" t="str">
        <f>IF('Step 2- Activity Inventory'!B366="","",'Step 2- Activity Inventory'!B366)</f>
        <v/>
      </c>
      <c r="C363" s="77" t="str">
        <f>IF('Step 2- Activity Inventory'!C366="","",'Step 2- Activity Inventory'!C366)</f>
        <v/>
      </c>
      <c r="D363" s="88" t="str">
        <f>IF('Step 2- Activity Inventory'!E366="","",'Step 2- Activity Inventory'!E366)</f>
        <v/>
      </c>
      <c r="E363" s="88" t="str">
        <f>IF('Step 2- Activity Inventory'!F366="","",'Step 2- Activity Inventory'!F366)</f>
        <v/>
      </c>
      <c r="F363" s="88" t="str">
        <f>IF(E363="Genius","N/A",IF('Step 2- Activity Inventory'!G366="","",'Step 2- Activity Inventory'!G366))</f>
        <v/>
      </c>
      <c r="G363" s="89" t="str">
        <f>IF('Step 2- Activity Inventory'!D366="","",'Step 2- Activity Inventory'!D366)</f>
        <v/>
      </c>
      <c r="H363" s="90"/>
      <c r="I363" s="24"/>
      <c r="J363" s="24"/>
      <c r="K363" s="91"/>
      <c r="L363" s="92" t="str">
        <f>IF(OR('Step 2- Activity Inventory'!O366=6,AND('Step 2- Activity Inventory'!O366=5,E363="Genius")),'Step 1- Hrly Rate Calc'!$D$18,"")</f>
        <v/>
      </c>
      <c r="M363" s="93" t="str">
        <f t="shared" si="15"/>
        <v/>
      </c>
      <c r="N363" s="93" t="str">
        <f>IF(L363="","",IF(IFERROR((G363/60)*M363*2*'Step 1- Hrly Rate Calc'!$D$14,"")&lt;0,"N/A",IFERROR((G363/60)*M363*2*'Step 1- Hrly Rate Calc'!$D$14,"")))</f>
        <v/>
      </c>
      <c r="O363" s="77" t="str">
        <f t="shared" si="16"/>
        <v/>
      </c>
      <c r="P363" s="77" t="str">
        <f t="shared" si="17"/>
        <v/>
      </c>
    </row>
    <row r="364" spans="2:16" s="61" customFormat="1" ht="34" customHeight="1" x14ac:dyDescent="0.2">
      <c r="B364" s="77" t="str">
        <f>IF('Step 2- Activity Inventory'!B367="","",'Step 2- Activity Inventory'!B367)</f>
        <v/>
      </c>
      <c r="C364" s="77" t="str">
        <f>IF('Step 2- Activity Inventory'!C367="","",'Step 2- Activity Inventory'!C367)</f>
        <v/>
      </c>
      <c r="D364" s="88" t="str">
        <f>IF('Step 2- Activity Inventory'!E367="","",'Step 2- Activity Inventory'!E367)</f>
        <v/>
      </c>
      <c r="E364" s="88" t="str">
        <f>IF('Step 2- Activity Inventory'!F367="","",'Step 2- Activity Inventory'!F367)</f>
        <v/>
      </c>
      <c r="F364" s="88" t="str">
        <f>IF(E364="Genius","N/A",IF('Step 2- Activity Inventory'!G367="","",'Step 2- Activity Inventory'!G367))</f>
        <v/>
      </c>
      <c r="G364" s="89" t="str">
        <f>IF('Step 2- Activity Inventory'!D367="","",'Step 2- Activity Inventory'!D367)</f>
        <v/>
      </c>
      <c r="H364" s="90"/>
      <c r="I364" s="24"/>
      <c r="J364" s="24"/>
      <c r="K364" s="91"/>
      <c r="L364" s="92" t="str">
        <f>IF(OR('Step 2- Activity Inventory'!O367=6,AND('Step 2- Activity Inventory'!O367=5,E364="Genius")),'Step 1- Hrly Rate Calc'!$D$18,"")</f>
        <v/>
      </c>
      <c r="M364" s="93" t="str">
        <f t="shared" si="15"/>
        <v/>
      </c>
      <c r="N364" s="93" t="str">
        <f>IF(L364="","",IF(IFERROR((G364/60)*M364*2*'Step 1- Hrly Rate Calc'!$D$14,"")&lt;0,"N/A",IFERROR((G364/60)*M364*2*'Step 1- Hrly Rate Calc'!$D$14,"")))</f>
        <v/>
      </c>
      <c r="O364" s="77" t="str">
        <f t="shared" si="16"/>
        <v/>
      </c>
      <c r="P364" s="77" t="str">
        <f t="shared" si="17"/>
        <v/>
      </c>
    </row>
    <row r="365" spans="2:16" s="61" customFormat="1" ht="34" customHeight="1" x14ac:dyDescent="0.2">
      <c r="B365" s="77" t="str">
        <f>IF('Step 2- Activity Inventory'!B368="","",'Step 2- Activity Inventory'!B368)</f>
        <v/>
      </c>
      <c r="C365" s="77" t="str">
        <f>IF('Step 2- Activity Inventory'!C368="","",'Step 2- Activity Inventory'!C368)</f>
        <v/>
      </c>
      <c r="D365" s="88" t="str">
        <f>IF('Step 2- Activity Inventory'!E368="","",'Step 2- Activity Inventory'!E368)</f>
        <v/>
      </c>
      <c r="E365" s="88" t="str">
        <f>IF('Step 2- Activity Inventory'!F368="","",'Step 2- Activity Inventory'!F368)</f>
        <v/>
      </c>
      <c r="F365" s="88" t="str">
        <f>IF(E365="Genius","N/A",IF('Step 2- Activity Inventory'!G368="","",'Step 2- Activity Inventory'!G368))</f>
        <v/>
      </c>
      <c r="G365" s="89" t="str">
        <f>IF('Step 2- Activity Inventory'!D368="","",'Step 2- Activity Inventory'!D368)</f>
        <v/>
      </c>
      <c r="H365" s="90"/>
      <c r="I365" s="24"/>
      <c r="J365" s="24"/>
      <c r="K365" s="91"/>
      <c r="L365" s="92" t="str">
        <f>IF(OR('Step 2- Activity Inventory'!O368=6,AND('Step 2- Activity Inventory'!O368=5,E365="Genius")),'Step 1- Hrly Rate Calc'!$D$18,"")</f>
        <v/>
      </c>
      <c r="M365" s="93" t="str">
        <f t="shared" si="15"/>
        <v/>
      </c>
      <c r="N365" s="93" t="str">
        <f>IF(L365="","",IF(IFERROR((G365/60)*M365*2*'Step 1- Hrly Rate Calc'!$D$14,"")&lt;0,"N/A",IFERROR((G365/60)*M365*2*'Step 1- Hrly Rate Calc'!$D$14,"")))</f>
        <v/>
      </c>
      <c r="O365" s="77" t="str">
        <f t="shared" si="16"/>
        <v/>
      </c>
      <c r="P365" s="77" t="str">
        <f t="shared" si="17"/>
        <v/>
      </c>
    </row>
    <row r="366" spans="2:16" s="61" customFormat="1" ht="34" customHeight="1" x14ac:dyDescent="0.2">
      <c r="B366" s="77" t="str">
        <f>IF('Step 2- Activity Inventory'!B369="","",'Step 2- Activity Inventory'!B369)</f>
        <v/>
      </c>
      <c r="C366" s="77" t="str">
        <f>IF('Step 2- Activity Inventory'!C369="","",'Step 2- Activity Inventory'!C369)</f>
        <v/>
      </c>
      <c r="D366" s="88" t="str">
        <f>IF('Step 2- Activity Inventory'!E369="","",'Step 2- Activity Inventory'!E369)</f>
        <v/>
      </c>
      <c r="E366" s="88" t="str">
        <f>IF('Step 2- Activity Inventory'!F369="","",'Step 2- Activity Inventory'!F369)</f>
        <v/>
      </c>
      <c r="F366" s="88" t="str">
        <f>IF(E366="Genius","N/A",IF('Step 2- Activity Inventory'!G369="","",'Step 2- Activity Inventory'!G369))</f>
        <v/>
      </c>
      <c r="G366" s="89" t="str">
        <f>IF('Step 2- Activity Inventory'!D369="","",'Step 2- Activity Inventory'!D369)</f>
        <v/>
      </c>
      <c r="H366" s="90"/>
      <c r="I366" s="24"/>
      <c r="J366" s="24"/>
      <c r="K366" s="91"/>
      <c r="L366" s="92" t="str">
        <f>IF(OR('Step 2- Activity Inventory'!O369=6,AND('Step 2- Activity Inventory'!O369=5,E366="Genius")),'Step 1- Hrly Rate Calc'!$D$18,"")</f>
        <v/>
      </c>
      <c r="M366" s="93" t="str">
        <f t="shared" si="15"/>
        <v/>
      </c>
      <c r="N366" s="93" t="str">
        <f>IF(L366="","",IF(IFERROR((G366/60)*M366*2*'Step 1- Hrly Rate Calc'!$D$14,"")&lt;0,"N/A",IFERROR((G366/60)*M366*2*'Step 1- Hrly Rate Calc'!$D$14,"")))</f>
        <v/>
      </c>
      <c r="O366" s="77" t="str">
        <f t="shared" si="16"/>
        <v/>
      </c>
      <c r="P366" s="77" t="str">
        <f t="shared" si="17"/>
        <v/>
      </c>
    </row>
    <row r="367" spans="2:16" s="61" customFormat="1" ht="34" customHeight="1" x14ac:dyDescent="0.2">
      <c r="B367" s="77" t="str">
        <f>IF('Step 2- Activity Inventory'!B370="","",'Step 2- Activity Inventory'!B370)</f>
        <v/>
      </c>
      <c r="C367" s="77" t="str">
        <f>IF('Step 2- Activity Inventory'!C370="","",'Step 2- Activity Inventory'!C370)</f>
        <v/>
      </c>
      <c r="D367" s="88" t="str">
        <f>IF('Step 2- Activity Inventory'!E370="","",'Step 2- Activity Inventory'!E370)</f>
        <v/>
      </c>
      <c r="E367" s="88" t="str">
        <f>IF('Step 2- Activity Inventory'!F370="","",'Step 2- Activity Inventory'!F370)</f>
        <v/>
      </c>
      <c r="F367" s="88" t="str">
        <f>IF(E367="Genius","N/A",IF('Step 2- Activity Inventory'!G370="","",'Step 2- Activity Inventory'!G370))</f>
        <v/>
      </c>
      <c r="G367" s="89" t="str">
        <f>IF('Step 2- Activity Inventory'!D370="","",'Step 2- Activity Inventory'!D370)</f>
        <v/>
      </c>
      <c r="H367" s="90"/>
      <c r="I367" s="24"/>
      <c r="J367" s="24"/>
      <c r="K367" s="91"/>
      <c r="L367" s="92" t="str">
        <f>IF(OR('Step 2- Activity Inventory'!O370=6,AND('Step 2- Activity Inventory'!O370=5,E367="Genius")),'Step 1- Hrly Rate Calc'!$D$18,"")</f>
        <v/>
      </c>
      <c r="M367" s="93" t="str">
        <f t="shared" si="15"/>
        <v/>
      </c>
      <c r="N367" s="93" t="str">
        <f>IF(L367="","",IF(IFERROR((G367/60)*M367*2*'Step 1- Hrly Rate Calc'!$D$14,"")&lt;0,"N/A",IFERROR((G367/60)*M367*2*'Step 1- Hrly Rate Calc'!$D$14,"")))</f>
        <v/>
      </c>
      <c r="O367" s="77" t="str">
        <f t="shared" si="16"/>
        <v/>
      </c>
      <c r="P367" s="77" t="str">
        <f t="shared" si="17"/>
        <v/>
      </c>
    </row>
    <row r="368" spans="2:16" s="61" customFormat="1" ht="34" customHeight="1" x14ac:dyDescent="0.2">
      <c r="B368" s="77" t="str">
        <f>IF('Step 2- Activity Inventory'!B371="","",'Step 2- Activity Inventory'!B371)</f>
        <v/>
      </c>
      <c r="C368" s="77" t="str">
        <f>IF('Step 2- Activity Inventory'!C371="","",'Step 2- Activity Inventory'!C371)</f>
        <v/>
      </c>
      <c r="D368" s="88" t="str">
        <f>IF('Step 2- Activity Inventory'!E371="","",'Step 2- Activity Inventory'!E371)</f>
        <v/>
      </c>
      <c r="E368" s="88" t="str">
        <f>IF('Step 2- Activity Inventory'!F371="","",'Step 2- Activity Inventory'!F371)</f>
        <v/>
      </c>
      <c r="F368" s="88" t="str">
        <f>IF(E368="Genius","N/A",IF('Step 2- Activity Inventory'!G371="","",'Step 2- Activity Inventory'!G371))</f>
        <v/>
      </c>
      <c r="G368" s="89" t="str">
        <f>IF('Step 2- Activity Inventory'!D371="","",'Step 2- Activity Inventory'!D371)</f>
        <v/>
      </c>
      <c r="H368" s="90"/>
      <c r="I368" s="24"/>
      <c r="J368" s="24"/>
      <c r="K368" s="91"/>
      <c r="L368" s="92" t="str">
        <f>IF(OR('Step 2- Activity Inventory'!O371=6,AND('Step 2- Activity Inventory'!O371=5,E368="Genius")),'Step 1- Hrly Rate Calc'!$D$18,"")</f>
        <v/>
      </c>
      <c r="M368" s="93" t="str">
        <f t="shared" si="15"/>
        <v/>
      </c>
      <c r="N368" s="93" t="str">
        <f>IF(L368="","",IF(IFERROR((G368/60)*M368*2*'Step 1- Hrly Rate Calc'!$D$14,"")&lt;0,"N/A",IFERROR((G368/60)*M368*2*'Step 1- Hrly Rate Calc'!$D$14,"")))</f>
        <v/>
      </c>
      <c r="O368" s="77" t="str">
        <f t="shared" si="16"/>
        <v/>
      </c>
      <c r="P368" s="77" t="str">
        <f t="shared" si="17"/>
        <v/>
      </c>
    </row>
    <row r="369" spans="2:16" s="61" customFormat="1" ht="34" customHeight="1" x14ac:dyDescent="0.2">
      <c r="B369" s="77" t="str">
        <f>IF('Step 2- Activity Inventory'!B372="","",'Step 2- Activity Inventory'!B372)</f>
        <v/>
      </c>
      <c r="C369" s="77" t="str">
        <f>IF('Step 2- Activity Inventory'!C372="","",'Step 2- Activity Inventory'!C372)</f>
        <v/>
      </c>
      <c r="D369" s="88" t="str">
        <f>IF('Step 2- Activity Inventory'!E372="","",'Step 2- Activity Inventory'!E372)</f>
        <v/>
      </c>
      <c r="E369" s="88" t="str">
        <f>IF('Step 2- Activity Inventory'!F372="","",'Step 2- Activity Inventory'!F372)</f>
        <v/>
      </c>
      <c r="F369" s="88" t="str">
        <f>IF(E369="Genius","N/A",IF('Step 2- Activity Inventory'!G372="","",'Step 2- Activity Inventory'!G372))</f>
        <v/>
      </c>
      <c r="G369" s="89" t="str">
        <f>IF('Step 2- Activity Inventory'!D372="","",'Step 2- Activity Inventory'!D372)</f>
        <v/>
      </c>
      <c r="H369" s="90"/>
      <c r="I369" s="24"/>
      <c r="J369" s="24"/>
      <c r="K369" s="91"/>
      <c r="L369" s="92" t="str">
        <f>IF(OR('Step 2- Activity Inventory'!O372=6,AND('Step 2- Activity Inventory'!O372=5,E369="Genius")),'Step 1- Hrly Rate Calc'!$D$18,"")</f>
        <v/>
      </c>
      <c r="M369" s="93" t="str">
        <f t="shared" si="15"/>
        <v/>
      </c>
      <c r="N369" s="93" t="str">
        <f>IF(L369="","",IF(IFERROR((G369/60)*M369*2*'Step 1- Hrly Rate Calc'!$D$14,"")&lt;0,"N/A",IFERROR((G369/60)*M369*2*'Step 1- Hrly Rate Calc'!$D$14,"")))</f>
        <v/>
      </c>
      <c r="O369" s="77" t="str">
        <f t="shared" si="16"/>
        <v/>
      </c>
      <c r="P369" s="77" t="str">
        <f t="shared" si="17"/>
        <v/>
      </c>
    </row>
    <row r="370" spans="2:16" s="61" customFormat="1" ht="34" customHeight="1" x14ac:dyDescent="0.2">
      <c r="B370" s="77" t="str">
        <f>IF('Step 2- Activity Inventory'!B373="","",'Step 2- Activity Inventory'!B373)</f>
        <v/>
      </c>
      <c r="C370" s="77" t="str">
        <f>IF('Step 2- Activity Inventory'!C373="","",'Step 2- Activity Inventory'!C373)</f>
        <v/>
      </c>
      <c r="D370" s="88" t="str">
        <f>IF('Step 2- Activity Inventory'!E373="","",'Step 2- Activity Inventory'!E373)</f>
        <v/>
      </c>
      <c r="E370" s="88" t="str">
        <f>IF('Step 2- Activity Inventory'!F373="","",'Step 2- Activity Inventory'!F373)</f>
        <v/>
      </c>
      <c r="F370" s="88" t="str">
        <f>IF(E370="Genius","N/A",IF('Step 2- Activity Inventory'!G373="","",'Step 2- Activity Inventory'!G373))</f>
        <v/>
      </c>
      <c r="G370" s="89" t="str">
        <f>IF('Step 2- Activity Inventory'!D373="","",'Step 2- Activity Inventory'!D373)</f>
        <v/>
      </c>
      <c r="H370" s="90"/>
      <c r="I370" s="24"/>
      <c r="J370" s="24"/>
      <c r="K370" s="91"/>
      <c r="L370" s="92" t="str">
        <f>IF(OR('Step 2- Activity Inventory'!O373=6,AND('Step 2- Activity Inventory'!O373=5,E370="Genius")),'Step 1- Hrly Rate Calc'!$D$18,"")</f>
        <v/>
      </c>
      <c r="M370" s="93" t="str">
        <f t="shared" si="15"/>
        <v/>
      </c>
      <c r="N370" s="93" t="str">
        <f>IF(L370="","",IF(IFERROR((G370/60)*M370*2*'Step 1- Hrly Rate Calc'!$D$14,"")&lt;0,"N/A",IFERROR((G370/60)*M370*2*'Step 1- Hrly Rate Calc'!$D$14,"")))</f>
        <v/>
      </c>
      <c r="O370" s="77" t="str">
        <f t="shared" si="16"/>
        <v/>
      </c>
      <c r="P370" s="77" t="str">
        <f t="shared" si="17"/>
        <v/>
      </c>
    </row>
    <row r="371" spans="2:16" s="61" customFormat="1" ht="34" customHeight="1" x14ac:dyDescent="0.2">
      <c r="B371" s="77" t="str">
        <f>IF('Step 2- Activity Inventory'!B374="","",'Step 2- Activity Inventory'!B374)</f>
        <v/>
      </c>
      <c r="C371" s="77" t="str">
        <f>IF('Step 2- Activity Inventory'!C374="","",'Step 2- Activity Inventory'!C374)</f>
        <v/>
      </c>
      <c r="D371" s="88" t="str">
        <f>IF('Step 2- Activity Inventory'!E374="","",'Step 2- Activity Inventory'!E374)</f>
        <v/>
      </c>
      <c r="E371" s="88" t="str">
        <f>IF('Step 2- Activity Inventory'!F374="","",'Step 2- Activity Inventory'!F374)</f>
        <v/>
      </c>
      <c r="F371" s="88" t="str">
        <f>IF(E371="Genius","N/A",IF('Step 2- Activity Inventory'!G374="","",'Step 2- Activity Inventory'!G374))</f>
        <v/>
      </c>
      <c r="G371" s="89" t="str">
        <f>IF('Step 2- Activity Inventory'!D374="","",'Step 2- Activity Inventory'!D374)</f>
        <v/>
      </c>
      <c r="H371" s="90"/>
      <c r="I371" s="24"/>
      <c r="J371" s="24"/>
      <c r="K371" s="91"/>
      <c r="L371" s="92" t="str">
        <f>IF(OR('Step 2- Activity Inventory'!O374=6,AND('Step 2- Activity Inventory'!O374=5,E371="Genius")),'Step 1- Hrly Rate Calc'!$D$18,"")</f>
        <v/>
      </c>
      <c r="M371" s="93" t="str">
        <f t="shared" si="15"/>
        <v/>
      </c>
      <c r="N371" s="93" t="str">
        <f>IF(L371="","",IF(IFERROR((G371/60)*M371*2*'Step 1- Hrly Rate Calc'!$D$14,"")&lt;0,"N/A",IFERROR((G371/60)*M371*2*'Step 1- Hrly Rate Calc'!$D$14,"")))</f>
        <v/>
      </c>
      <c r="O371" s="77" t="str">
        <f t="shared" si="16"/>
        <v/>
      </c>
      <c r="P371" s="77" t="str">
        <f t="shared" si="17"/>
        <v/>
      </c>
    </row>
    <row r="372" spans="2:16" s="61" customFormat="1" ht="34" customHeight="1" x14ac:dyDescent="0.2">
      <c r="B372" s="77" t="str">
        <f>IF('Step 2- Activity Inventory'!B375="","",'Step 2- Activity Inventory'!B375)</f>
        <v/>
      </c>
      <c r="C372" s="77" t="str">
        <f>IF('Step 2- Activity Inventory'!C375="","",'Step 2- Activity Inventory'!C375)</f>
        <v/>
      </c>
      <c r="D372" s="88" t="str">
        <f>IF('Step 2- Activity Inventory'!E375="","",'Step 2- Activity Inventory'!E375)</f>
        <v/>
      </c>
      <c r="E372" s="88" t="str">
        <f>IF('Step 2- Activity Inventory'!F375="","",'Step 2- Activity Inventory'!F375)</f>
        <v/>
      </c>
      <c r="F372" s="88" t="str">
        <f>IF(E372="Genius","N/A",IF('Step 2- Activity Inventory'!G375="","",'Step 2- Activity Inventory'!G375))</f>
        <v/>
      </c>
      <c r="G372" s="89" t="str">
        <f>IF('Step 2- Activity Inventory'!D375="","",'Step 2- Activity Inventory'!D375)</f>
        <v/>
      </c>
      <c r="H372" s="90"/>
      <c r="I372" s="24"/>
      <c r="J372" s="24"/>
      <c r="K372" s="91"/>
      <c r="L372" s="92" t="str">
        <f>IF(OR('Step 2- Activity Inventory'!O375=6,AND('Step 2- Activity Inventory'!O375=5,E372="Genius")),'Step 1- Hrly Rate Calc'!$D$18,"")</f>
        <v/>
      </c>
      <c r="M372" s="93" t="str">
        <f t="shared" si="15"/>
        <v/>
      </c>
      <c r="N372" s="93" t="str">
        <f>IF(L372="","",IF(IFERROR((G372/60)*M372*2*'Step 1- Hrly Rate Calc'!$D$14,"")&lt;0,"N/A",IFERROR((G372/60)*M372*2*'Step 1- Hrly Rate Calc'!$D$14,"")))</f>
        <v/>
      </c>
      <c r="O372" s="77" t="str">
        <f t="shared" si="16"/>
        <v/>
      </c>
      <c r="P372" s="77" t="str">
        <f t="shared" si="17"/>
        <v/>
      </c>
    </row>
    <row r="373" spans="2:16" s="61" customFormat="1" ht="34" customHeight="1" x14ac:dyDescent="0.2">
      <c r="B373" s="77" t="str">
        <f>IF('Step 2- Activity Inventory'!B376="","",'Step 2- Activity Inventory'!B376)</f>
        <v/>
      </c>
      <c r="C373" s="77" t="str">
        <f>IF('Step 2- Activity Inventory'!C376="","",'Step 2- Activity Inventory'!C376)</f>
        <v/>
      </c>
      <c r="D373" s="88" t="str">
        <f>IF('Step 2- Activity Inventory'!E376="","",'Step 2- Activity Inventory'!E376)</f>
        <v/>
      </c>
      <c r="E373" s="88" t="str">
        <f>IF('Step 2- Activity Inventory'!F376="","",'Step 2- Activity Inventory'!F376)</f>
        <v/>
      </c>
      <c r="F373" s="88" t="str">
        <f>IF(E373="Genius","N/A",IF('Step 2- Activity Inventory'!G376="","",'Step 2- Activity Inventory'!G376))</f>
        <v/>
      </c>
      <c r="G373" s="89" t="str">
        <f>IF('Step 2- Activity Inventory'!D376="","",'Step 2- Activity Inventory'!D376)</f>
        <v/>
      </c>
      <c r="H373" s="90"/>
      <c r="I373" s="24"/>
      <c r="J373" s="24"/>
      <c r="K373" s="91"/>
      <c r="L373" s="92" t="str">
        <f>IF(OR('Step 2- Activity Inventory'!O376=6,AND('Step 2- Activity Inventory'!O376=5,E373="Genius")),'Step 1- Hrly Rate Calc'!$D$18,"")</f>
        <v/>
      </c>
      <c r="M373" s="93" t="str">
        <f t="shared" si="15"/>
        <v/>
      </c>
      <c r="N373" s="93" t="str">
        <f>IF(L373="","",IF(IFERROR((G373/60)*M373*2*'Step 1- Hrly Rate Calc'!$D$14,"")&lt;0,"N/A",IFERROR((G373/60)*M373*2*'Step 1- Hrly Rate Calc'!$D$14,"")))</f>
        <v/>
      </c>
      <c r="O373" s="77" t="str">
        <f t="shared" si="16"/>
        <v/>
      </c>
      <c r="P373" s="77" t="str">
        <f t="shared" si="17"/>
        <v/>
      </c>
    </row>
    <row r="374" spans="2:16" s="61" customFormat="1" ht="34" customHeight="1" x14ac:dyDescent="0.2">
      <c r="B374" s="77" t="str">
        <f>IF('Step 2- Activity Inventory'!B377="","",'Step 2- Activity Inventory'!B377)</f>
        <v/>
      </c>
      <c r="C374" s="77" t="str">
        <f>IF('Step 2- Activity Inventory'!C377="","",'Step 2- Activity Inventory'!C377)</f>
        <v/>
      </c>
      <c r="D374" s="88" t="str">
        <f>IF('Step 2- Activity Inventory'!E377="","",'Step 2- Activity Inventory'!E377)</f>
        <v/>
      </c>
      <c r="E374" s="88" t="str">
        <f>IF('Step 2- Activity Inventory'!F377="","",'Step 2- Activity Inventory'!F377)</f>
        <v/>
      </c>
      <c r="F374" s="88" t="str">
        <f>IF(E374="Genius","N/A",IF('Step 2- Activity Inventory'!G377="","",'Step 2- Activity Inventory'!G377))</f>
        <v/>
      </c>
      <c r="G374" s="89" t="str">
        <f>IF('Step 2- Activity Inventory'!D377="","",'Step 2- Activity Inventory'!D377)</f>
        <v/>
      </c>
      <c r="H374" s="90"/>
      <c r="I374" s="24"/>
      <c r="J374" s="24"/>
      <c r="K374" s="91"/>
      <c r="L374" s="92" t="str">
        <f>IF(OR('Step 2- Activity Inventory'!O377=6,AND('Step 2- Activity Inventory'!O377=5,E374="Genius")),'Step 1- Hrly Rate Calc'!$D$18,"")</f>
        <v/>
      </c>
      <c r="M374" s="93" t="str">
        <f t="shared" si="15"/>
        <v/>
      </c>
      <c r="N374" s="93" t="str">
        <f>IF(L374="","",IF(IFERROR((G374/60)*M374*2*'Step 1- Hrly Rate Calc'!$D$14,"")&lt;0,"N/A",IFERROR((G374/60)*M374*2*'Step 1- Hrly Rate Calc'!$D$14,"")))</f>
        <v/>
      </c>
      <c r="O374" s="77" t="str">
        <f t="shared" si="16"/>
        <v/>
      </c>
      <c r="P374" s="77" t="str">
        <f t="shared" si="17"/>
        <v/>
      </c>
    </row>
    <row r="375" spans="2:16" s="61" customFormat="1" ht="34" customHeight="1" x14ac:dyDescent="0.2">
      <c r="B375" s="77" t="str">
        <f>IF('Step 2- Activity Inventory'!B378="","",'Step 2- Activity Inventory'!B378)</f>
        <v/>
      </c>
      <c r="C375" s="77" t="str">
        <f>IF('Step 2- Activity Inventory'!C378="","",'Step 2- Activity Inventory'!C378)</f>
        <v/>
      </c>
      <c r="D375" s="88" t="str">
        <f>IF('Step 2- Activity Inventory'!E378="","",'Step 2- Activity Inventory'!E378)</f>
        <v/>
      </c>
      <c r="E375" s="88" t="str">
        <f>IF('Step 2- Activity Inventory'!F378="","",'Step 2- Activity Inventory'!F378)</f>
        <v/>
      </c>
      <c r="F375" s="88" t="str">
        <f>IF(E375="Genius","N/A",IF('Step 2- Activity Inventory'!G378="","",'Step 2- Activity Inventory'!G378))</f>
        <v/>
      </c>
      <c r="G375" s="89" t="str">
        <f>IF('Step 2- Activity Inventory'!D378="","",'Step 2- Activity Inventory'!D378)</f>
        <v/>
      </c>
      <c r="H375" s="90"/>
      <c r="I375" s="24"/>
      <c r="J375" s="24"/>
      <c r="K375" s="91"/>
      <c r="L375" s="92" t="str">
        <f>IF(OR('Step 2- Activity Inventory'!O378=6,AND('Step 2- Activity Inventory'!O378=5,E375="Genius")),'Step 1- Hrly Rate Calc'!$D$18,"")</f>
        <v/>
      </c>
      <c r="M375" s="93" t="str">
        <f t="shared" si="15"/>
        <v/>
      </c>
      <c r="N375" s="93" t="str">
        <f>IF(L375="","",IF(IFERROR((G375/60)*M375*2*'Step 1- Hrly Rate Calc'!$D$14,"")&lt;0,"N/A",IFERROR((G375/60)*M375*2*'Step 1- Hrly Rate Calc'!$D$14,"")))</f>
        <v/>
      </c>
      <c r="O375" s="77" t="str">
        <f t="shared" si="16"/>
        <v/>
      </c>
      <c r="P375" s="77" t="str">
        <f t="shared" si="17"/>
        <v/>
      </c>
    </row>
    <row r="376" spans="2:16" s="61" customFormat="1" ht="34" customHeight="1" x14ac:dyDescent="0.2">
      <c r="B376" s="77" t="str">
        <f>IF('Step 2- Activity Inventory'!B379="","",'Step 2- Activity Inventory'!B379)</f>
        <v/>
      </c>
      <c r="C376" s="77" t="str">
        <f>IF('Step 2- Activity Inventory'!C379="","",'Step 2- Activity Inventory'!C379)</f>
        <v/>
      </c>
      <c r="D376" s="88" t="str">
        <f>IF('Step 2- Activity Inventory'!E379="","",'Step 2- Activity Inventory'!E379)</f>
        <v/>
      </c>
      <c r="E376" s="88" t="str">
        <f>IF('Step 2- Activity Inventory'!F379="","",'Step 2- Activity Inventory'!F379)</f>
        <v/>
      </c>
      <c r="F376" s="88" t="str">
        <f>IF(E376="Genius","N/A",IF('Step 2- Activity Inventory'!G379="","",'Step 2- Activity Inventory'!G379))</f>
        <v/>
      </c>
      <c r="G376" s="89" t="str">
        <f>IF('Step 2- Activity Inventory'!D379="","",'Step 2- Activity Inventory'!D379)</f>
        <v/>
      </c>
      <c r="H376" s="90"/>
      <c r="I376" s="24"/>
      <c r="J376" s="24"/>
      <c r="K376" s="91"/>
      <c r="L376" s="92" t="str">
        <f>IF(OR('Step 2- Activity Inventory'!O379=6,AND('Step 2- Activity Inventory'!O379=5,E376="Genius")),'Step 1- Hrly Rate Calc'!$D$18,"")</f>
        <v/>
      </c>
      <c r="M376" s="93" t="str">
        <f t="shared" si="15"/>
        <v/>
      </c>
      <c r="N376" s="93" t="str">
        <f>IF(L376="","",IF(IFERROR((G376/60)*M376*2*'Step 1- Hrly Rate Calc'!$D$14,"")&lt;0,"N/A",IFERROR((G376/60)*M376*2*'Step 1- Hrly Rate Calc'!$D$14,"")))</f>
        <v/>
      </c>
      <c r="O376" s="77" t="str">
        <f t="shared" si="16"/>
        <v/>
      </c>
      <c r="P376" s="77" t="str">
        <f t="shared" si="17"/>
        <v/>
      </c>
    </row>
    <row r="377" spans="2:16" s="61" customFormat="1" ht="34" customHeight="1" x14ac:dyDescent="0.2">
      <c r="B377" s="77" t="str">
        <f>IF('Step 2- Activity Inventory'!B380="","",'Step 2- Activity Inventory'!B380)</f>
        <v/>
      </c>
      <c r="C377" s="77" t="str">
        <f>IF('Step 2- Activity Inventory'!C380="","",'Step 2- Activity Inventory'!C380)</f>
        <v/>
      </c>
      <c r="D377" s="88" t="str">
        <f>IF('Step 2- Activity Inventory'!E380="","",'Step 2- Activity Inventory'!E380)</f>
        <v/>
      </c>
      <c r="E377" s="88" t="str">
        <f>IF('Step 2- Activity Inventory'!F380="","",'Step 2- Activity Inventory'!F380)</f>
        <v/>
      </c>
      <c r="F377" s="88" t="str">
        <f>IF(E377="Genius","N/A",IF('Step 2- Activity Inventory'!G380="","",'Step 2- Activity Inventory'!G380))</f>
        <v/>
      </c>
      <c r="G377" s="89" t="str">
        <f>IF('Step 2- Activity Inventory'!D380="","",'Step 2- Activity Inventory'!D380)</f>
        <v/>
      </c>
      <c r="H377" s="90"/>
      <c r="I377" s="24"/>
      <c r="J377" s="24"/>
      <c r="K377" s="91"/>
      <c r="L377" s="92" t="str">
        <f>IF(OR('Step 2- Activity Inventory'!O380=6,AND('Step 2- Activity Inventory'!O380=5,E377="Genius")),'Step 1- Hrly Rate Calc'!$D$18,"")</f>
        <v/>
      </c>
      <c r="M377" s="93" t="str">
        <f t="shared" si="15"/>
        <v/>
      </c>
      <c r="N377" s="93" t="str">
        <f>IF(L377="","",IF(IFERROR((G377/60)*M377*2*'Step 1- Hrly Rate Calc'!$D$14,"")&lt;0,"N/A",IFERROR((G377/60)*M377*2*'Step 1- Hrly Rate Calc'!$D$14,"")))</f>
        <v/>
      </c>
      <c r="O377" s="77" t="str">
        <f t="shared" si="16"/>
        <v/>
      </c>
      <c r="P377" s="77" t="str">
        <f t="shared" si="17"/>
        <v/>
      </c>
    </row>
    <row r="378" spans="2:16" s="61" customFormat="1" ht="34" customHeight="1" x14ac:dyDescent="0.2">
      <c r="B378" s="77" t="str">
        <f>IF('Step 2- Activity Inventory'!B381="","",'Step 2- Activity Inventory'!B381)</f>
        <v/>
      </c>
      <c r="C378" s="77" t="str">
        <f>IF('Step 2- Activity Inventory'!C381="","",'Step 2- Activity Inventory'!C381)</f>
        <v/>
      </c>
      <c r="D378" s="88" t="str">
        <f>IF('Step 2- Activity Inventory'!E381="","",'Step 2- Activity Inventory'!E381)</f>
        <v/>
      </c>
      <c r="E378" s="88" t="str">
        <f>IF('Step 2- Activity Inventory'!F381="","",'Step 2- Activity Inventory'!F381)</f>
        <v/>
      </c>
      <c r="F378" s="88" t="str">
        <f>IF(E378="Genius","N/A",IF('Step 2- Activity Inventory'!G381="","",'Step 2- Activity Inventory'!G381))</f>
        <v/>
      </c>
      <c r="G378" s="89" t="str">
        <f>IF('Step 2- Activity Inventory'!D381="","",'Step 2- Activity Inventory'!D381)</f>
        <v/>
      </c>
      <c r="H378" s="90"/>
      <c r="I378" s="24"/>
      <c r="J378" s="24"/>
      <c r="K378" s="91"/>
      <c r="L378" s="92" t="str">
        <f>IF(OR('Step 2- Activity Inventory'!O381=6,AND('Step 2- Activity Inventory'!O381=5,E378="Genius")),'Step 1- Hrly Rate Calc'!$D$18,"")</f>
        <v/>
      </c>
      <c r="M378" s="93" t="str">
        <f t="shared" si="15"/>
        <v/>
      </c>
      <c r="N378" s="93" t="str">
        <f>IF(L378="","",IF(IFERROR((G378/60)*M378*2*'Step 1- Hrly Rate Calc'!$D$14,"")&lt;0,"N/A",IFERROR((G378/60)*M378*2*'Step 1- Hrly Rate Calc'!$D$14,"")))</f>
        <v/>
      </c>
      <c r="O378" s="77" t="str">
        <f t="shared" si="16"/>
        <v/>
      </c>
      <c r="P378" s="77" t="str">
        <f t="shared" si="17"/>
        <v/>
      </c>
    </row>
    <row r="379" spans="2:16" s="61" customFormat="1" ht="34" customHeight="1" x14ac:dyDescent="0.2">
      <c r="B379" s="77" t="str">
        <f>IF('Step 2- Activity Inventory'!B382="","",'Step 2- Activity Inventory'!B382)</f>
        <v/>
      </c>
      <c r="C379" s="77" t="str">
        <f>IF('Step 2- Activity Inventory'!C382="","",'Step 2- Activity Inventory'!C382)</f>
        <v/>
      </c>
      <c r="D379" s="88" t="str">
        <f>IF('Step 2- Activity Inventory'!E382="","",'Step 2- Activity Inventory'!E382)</f>
        <v/>
      </c>
      <c r="E379" s="88" t="str">
        <f>IF('Step 2- Activity Inventory'!F382="","",'Step 2- Activity Inventory'!F382)</f>
        <v/>
      </c>
      <c r="F379" s="88" t="str">
        <f>IF(E379="Genius","N/A",IF('Step 2- Activity Inventory'!G382="","",'Step 2- Activity Inventory'!G382))</f>
        <v/>
      </c>
      <c r="G379" s="89" t="str">
        <f>IF('Step 2- Activity Inventory'!D382="","",'Step 2- Activity Inventory'!D382)</f>
        <v/>
      </c>
      <c r="H379" s="90"/>
      <c r="I379" s="24"/>
      <c r="J379" s="24"/>
      <c r="K379" s="91"/>
      <c r="L379" s="92" t="str">
        <f>IF(OR('Step 2- Activity Inventory'!O382=6,AND('Step 2- Activity Inventory'!O382=5,E379="Genius")),'Step 1- Hrly Rate Calc'!$D$18,"")</f>
        <v/>
      </c>
      <c r="M379" s="93" t="str">
        <f t="shared" si="15"/>
        <v/>
      </c>
      <c r="N379" s="93" t="str">
        <f>IF(L379="","",IF(IFERROR((G379/60)*M379*2*'Step 1- Hrly Rate Calc'!$D$14,"")&lt;0,"N/A",IFERROR((G379/60)*M379*2*'Step 1- Hrly Rate Calc'!$D$14,"")))</f>
        <v/>
      </c>
      <c r="O379" s="77" t="str">
        <f t="shared" si="16"/>
        <v/>
      </c>
      <c r="P379" s="77" t="str">
        <f t="shared" si="17"/>
        <v/>
      </c>
    </row>
    <row r="380" spans="2:16" s="61" customFormat="1" ht="34" customHeight="1" x14ac:dyDescent="0.2">
      <c r="B380" s="77" t="str">
        <f>IF('Step 2- Activity Inventory'!B383="","",'Step 2- Activity Inventory'!B383)</f>
        <v/>
      </c>
      <c r="C380" s="77" t="str">
        <f>IF('Step 2- Activity Inventory'!C383="","",'Step 2- Activity Inventory'!C383)</f>
        <v/>
      </c>
      <c r="D380" s="88" t="str">
        <f>IF('Step 2- Activity Inventory'!E383="","",'Step 2- Activity Inventory'!E383)</f>
        <v/>
      </c>
      <c r="E380" s="88" t="str">
        <f>IF('Step 2- Activity Inventory'!F383="","",'Step 2- Activity Inventory'!F383)</f>
        <v/>
      </c>
      <c r="F380" s="88" t="str">
        <f>IF(E380="Genius","N/A",IF('Step 2- Activity Inventory'!G383="","",'Step 2- Activity Inventory'!G383))</f>
        <v/>
      </c>
      <c r="G380" s="89" t="str">
        <f>IF('Step 2- Activity Inventory'!D383="","",'Step 2- Activity Inventory'!D383)</f>
        <v/>
      </c>
      <c r="H380" s="90"/>
      <c r="I380" s="24"/>
      <c r="J380" s="24"/>
      <c r="K380" s="91"/>
      <c r="L380" s="92" t="str">
        <f>IF(OR('Step 2- Activity Inventory'!O383=6,AND('Step 2- Activity Inventory'!O383=5,E380="Genius")),'Step 1- Hrly Rate Calc'!$D$18,"")</f>
        <v/>
      </c>
      <c r="M380" s="93" t="str">
        <f t="shared" si="15"/>
        <v/>
      </c>
      <c r="N380" s="93" t="str">
        <f>IF(L380="","",IF(IFERROR((G380/60)*M380*2*'Step 1- Hrly Rate Calc'!$D$14,"")&lt;0,"N/A",IFERROR((G380/60)*M380*2*'Step 1- Hrly Rate Calc'!$D$14,"")))</f>
        <v/>
      </c>
      <c r="O380" s="77" t="str">
        <f t="shared" si="16"/>
        <v/>
      </c>
      <c r="P380" s="77" t="str">
        <f t="shared" si="17"/>
        <v/>
      </c>
    </row>
    <row r="381" spans="2:16" s="61" customFormat="1" ht="34" customHeight="1" x14ac:dyDescent="0.2">
      <c r="B381" s="77" t="str">
        <f>IF('Step 2- Activity Inventory'!B384="","",'Step 2- Activity Inventory'!B384)</f>
        <v/>
      </c>
      <c r="C381" s="77" t="str">
        <f>IF('Step 2- Activity Inventory'!C384="","",'Step 2- Activity Inventory'!C384)</f>
        <v/>
      </c>
      <c r="D381" s="88" t="str">
        <f>IF('Step 2- Activity Inventory'!E384="","",'Step 2- Activity Inventory'!E384)</f>
        <v/>
      </c>
      <c r="E381" s="88" t="str">
        <f>IF('Step 2- Activity Inventory'!F384="","",'Step 2- Activity Inventory'!F384)</f>
        <v/>
      </c>
      <c r="F381" s="88" t="str">
        <f>IF(E381="Genius","N/A",IF('Step 2- Activity Inventory'!G384="","",'Step 2- Activity Inventory'!G384))</f>
        <v/>
      </c>
      <c r="G381" s="89" t="str">
        <f>IF('Step 2- Activity Inventory'!D384="","",'Step 2- Activity Inventory'!D384)</f>
        <v/>
      </c>
      <c r="H381" s="90"/>
      <c r="I381" s="24"/>
      <c r="J381" s="24"/>
      <c r="K381" s="91"/>
      <c r="L381" s="92" t="str">
        <f>IF(OR('Step 2- Activity Inventory'!O384=6,AND('Step 2- Activity Inventory'!O384=5,E381="Genius")),'Step 1- Hrly Rate Calc'!$D$18,"")</f>
        <v/>
      </c>
      <c r="M381" s="93" t="str">
        <f t="shared" si="15"/>
        <v/>
      </c>
      <c r="N381" s="93" t="str">
        <f>IF(L381="","",IF(IFERROR((G381/60)*M381*2*'Step 1- Hrly Rate Calc'!$D$14,"")&lt;0,"N/A",IFERROR((G381/60)*M381*2*'Step 1- Hrly Rate Calc'!$D$14,"")))</f>
        <v/>
      </c>
      <c r="O381" s="77" t="str">
        <f t="shared" si="16"/>
        <v/>
      </c>
      <c r="P381" s="77" t="str">
        <f t="shared" si="17"/>
        <v/>
      </c>
    </row>
    <row r="382" spans="2:16" s="61" customFormat="1" ht="34" customHeight="1" x14ac:dyDescent="0.2">
      <c r="B382" s="77" t="str">
        <f>IF('Step 2- Activity Inventory'!B385="","",'Step 2- Activity Inventory'!B385)</f>
        <v/>
      </c>
      <c r="C382" s="77" t="str">
        <f>IF('Step 2- Activity Inventory'!C385="","",'Step 2- Activity Inventory'!C385)</f>
        <v/>
      </c>
      <c r="D382" s="88" t="str">
        <f>IF('Step 2- Activity Inventory'!E385="","",'Step 2- Activity Inventory'!E385)</f>
        <v/>
      </c>
      <c r="E382" s="88" t="str">
        <f>IF('Step 2- Activity Inventory'!F385="","",'Step 2- Activity Inventory'!F385)</f>
        <v/>
      </c>
      <c r="F382" s="88" t="str">
        <f>IF(E382="Genius","N/A",IF('Step 2- Activity Inventory'!G385="","",'Step 2- Activity Inventory'!G385))</f>
        <v/>
      </c>
      <c r="G382" s="89" t="str">
        <f>IF('Step 2- Activity Inventory'!D385="","",'Step 2- Activity Inventory'!D385)</f>
        <v/>
      </c>
      <c r="H382" s="90"/>
      <c r="I382" s="24"/>
      <c r="J382" s="24"/>
      <c r="K382" s="91"/>
      <c r="L382" s="92" t="str">
        <f>IF(OR('Step 2- Activity Inventory'!O385=6,AND('Step 2- Activity Inventory'!O385=5,E382="Genius")),'Step 1- Hrly Rate Calc'!$D$18,"")</f>
        <v/>
      </c>
      <c r="M382" s="93" t="str">
        <f t="shared" si="15"/>
        <v/>
      </c>
      <c r="N382" s="93" t="str">
        <f>IF(L382="","",IF(IFERROR((G382/60)*M382*2*'Step 1- Hrly Rate Calc'!$D$14,"")&lt;0,"N/A",IFERROR((G382/60)*M382*2*'Step 1- Hrly Rate Calc'!$D$14,"")))</f>
        <v/>
      </c>
      <c r="O382" s="77" t="str">
        <f t="shared" si="16"/>
        <v/>
      </c>
      <c r="P382" s="77" t="str">
        <f t="shared" si="17"/>
        <v/>
      </c>
    </row>
    <row r="383" spans="2:16" s="61" customFormat="1" ht="34" customHeight="1" x14ac:dyDescent="0.2">
      <c r="B383" s="77" t="str">
        <f>IF('Step 2- Activity Inventory'!B386="","",'Step 2- Activity Inventory'!B386)</f>
        <v/>
      </c>
      <c r="C383" s="77" t="str">
        <f>IF('Step 2- Activity Inventory'!C386="","",'Step 2- Activity Inventory'!C386)</f>
        <v/>
      </c>
      <c r="D383" s="88" t="str">
        <f>IF('Step 2- Activity Inventory'!E386="","",'Step 2- Activity Inventory'!E386)</f>
        <v/>
      </c>
      <c r="E383" s="88" t="str">
        <f>IF('Step 2- Activity Inventory'!F386="","",'Step 2- Activity Inventory'!F386)</f>
        <v/>
      </c>
      <c r="F383" s="88" t="str">
        <f>IF(E383="Genius","N/A",IF('Step 2- Activity Inventory'!G386="","",'Step 2- Activity Inventory'!G386))</f>
        <v/>
      </c>
      <c r="G383" s="89" t="str">
        <f>IF('Step 2- Activity Inventory'!D386="","",'Step 2- Activity Inventory'!D386)</f>
        <v/>
      </c>
      <c r="H383" s="90"/>
      <c r="I383" s="24"/>
      <c r="J383" s="24"/>
      <c r="K383" s="91"/>
      <c r="L383" s="92" t="str">
        <f>IF(OR('Step 2- Activity Inventory'!O386=6,AND('Step 2- Activity Inventory'!O386=5,E383="Genius")),'Step 1- Hrly Rate Calc'!$D$18,"")</f>
        <v/>
      </c>
      <c r="M383" s="93" t="str">
        <f t="shared" si="15"/>
        <v/>
      </c>
      <c r="N383" s="93" t="str">
        <f>IF(L383="","",IF(IFERROR((G383/60)*M383*2*'Step 1- Hrly Rate Calc'!$D$14,"")&lt;0,"N/A",IFERROR((G383/60)*M383*2*'Step 1- Hrly Rate Calc'!$D$14,"")))</f>
        <v/>
      </c>
      <c r="O383" s="77" t="str">
        <f t="shared" si="16"/>
        <v/>
      </c>
      <c r="P383" s="77" t="str">
        <f t="shared" si="17"/>
        <v/>
      </c>
    </row>
    <row r="384" spans="2:16" s="61" customFormat="1" ht="34" customHeight="1" x14ac:dyDescent="0.2">
      <c r="B384" s="77" t="str">
        <f>IF('Step 2- Activity Inventory'!B387="","",'Step 2- Activity Inventory'!B387)</f>
        <v/>
      </c>
      <c r="C384" s="77" t="str">
        <f>IF('Step 2- Activity Inventory'!C387="","",'Step 2- Activity Inventory'!C387)</f>
        <v/>
      </c>
      <c r="D384" s="88" t="str">
        <f>IF('Step 2- Activity Inventory'!E387="","",'Step 2- Activity Inventory'!E387)</f>
        <v/>
      </c>
      <c r="E384" s="88" t="str">
        <f>IF('Step 2- Activity Inventory'!F387="","",'Step 2- Activity Inventory'!F387)</f>
        <v/>
      </c>
      <c r="F384" s="88" t="str">
        <f>IF(E384="Genius","N/A",IF('Step 2- Activity Inventory'!G387="","",'Step 2- Activity Inventory'!G387))</f>
        <v/>
      </c>
      <c r="G384" s="89" t="str">
        <f>IF('Step 2- Activity Inventory'!D387="","",'Step 2- Activity Inventory'!D387)</f>
        <v/>
      </c>
      <c r="H384" s="90"/>
      <c r="I384" s="24"/>
      <c r="J384" s="24"/>
      <c r="K384" s="91"/>
      <c r="L384" s="92" t="str">
        <f>IF(OR('Step 2- Activity Inventory'!O387=6,AND('Step 2- Activity Inventory'!O387=5,E384="Genius")),'Step 1- Hrly Rate Calc'!$D$18,"")</f>
        <v/>
      </c>
      <c r="M384" s="93" t="str">
        <f t="shared" si="15"/>
        <v/>
      </c>
      <c r="N384" s="93" t="str">
        <f>IF(L384="","",IF(IFERROR((G384/60)*M384*2*'Step 1- Hrly Rate Calc'!$D$14,"")&lt;0,"N/A",IFERROR((G384/60)*M384*2*'Step 1- Hrly Rate Calc'!$D$14,"")))</f>
        <v/>
      </c>
      <c r="O384" s="77" t="str">
        <f t="shared" si="16"/>
        <v/>
      </c>
      <c r="P384" s="77" t="str">
        <f t="shared" si="17"/>
        <v/>
      </c>
    </row>
    <row r="385" spans="2:16" s="61" customFormat="1" ht="34" customHeight="1" x14ac:dyDescent="0.2">
      <c r="B385" s="77" t="str">
        <f>IF('Step 2- Activity Inventory'!B388="","",'Step 2- Activity Inventory'!B388)</f>
        <v/>
      </c>
      <c r="C385" s="77" t="str">
        <f>IF('Step 2- Activity Inventory'!C388="","",'Step 2- Activity Inventory'!C388)</f>
        <v/>
      </c>
      <c r="D385" s="88" t="str">
        <f>IF('Step 2- Activity Inventory'!E388="","",'Step 2- Activity Inventory'!E388)</f>
        <v/>
      </c>
      <c r="E385" s="88" t="str">
        <f>IF('Step 2- Activity Inventory'!F388="","",'Step 2- Activity Inventory'!F388)</f>
        <v/>
      </c>
      <c r="F385" s="88" t="str">
        <f>IF(E385="Genius","N/A",IF('Step 2- Activity Inventory'!G388="","",'Step 2- Activity Inventory'!G388))</f>
        <v/>
      </c>
      <c r="G385" s="89" t="str">
        <f>IF('Step 2- Activity Inventory'!D388="","",'Step 2- Activity Inventory'!D388)</f>
        <v/>
      </c>
      <c r="H385" s="90"/>
      <c r="I385" s="24"/>
      <c r="J385" s="24"/>
      <c r="K385" s="91"/>
      <c r="L385" s="92" t="str">
        <f>IF(OR('Step 2- Activity Inventory'!O388=6,AND('Step 2- Activity Inventory'!O388=5,E385="Genius")),'Step 1- Hrly Rate Calc'!$D$18,"")</f>
        <v/>
      </c>
      <c r="M385" s="93" t="str">
        <f t="shared" si="15"/>
        <v/>
      </c>
      <c r="N385" s="93" t="str">
        <f>IF(L385="","",IF(IFERROR((G385/60)*M385*2*'Step 1- Hrly Rate Calc'!$D$14,"")&lt;0,"N/A",IFERROR((G385/60)*M385*2*'Step 1- Hrly Rate Calc'!$D$14,"")))</f>
        <v/>
      </c>
      <c r="O385" s="77" t="str">
        <f t="shared" si="16"/>
        <v/>
      </c>
      <c r="P385" s="77" t="str">
        <f t="shared" si="17"/>
        <v/>
      </c>
    </row>
    <row r="386" spans="2:16" s="61" customFormat="1" ht="34" customHeight="1" x14ac:dyDescent="0.2">
      <c r="B386" s="77" t="str">
        <f>IF('Step 2- Activity Inventory'!B389="","",'Step 2- Activity Inventory'!B389)</f>
        <v/>
      </c>
      <c r="C386" s="77" t="str">
        <f>IF('Step 2- Activity Inventory'!C389="","",'Step 2- Activity Inventory'!C389)</f>
        <v/>
      </c>
      <c r="D386" s="88" t="str">
        <f>IF('Step 2- Activity Inventory'!E389="","",'Step 2- Activity Inventory'!E389)</f>
        <v/>
      </c>
      <c r="E386" s="88" t="str">
        <f>IF('Step 2- Activity Inventory'!F389="","",'Step 2- Activity Inventory'!F389)</f>
        <v/>
      </c>
      <c r="F386" s="88" t="str">
        <f>IF(E386="Genius","N/A",IF('Step 2- Activity Inventory'!G389="","",'Step 2- Activity Inventory'!G389))</f>
        <v/>
      </c>
      <c r="G386" s="89" t="str">
        <f>IF('Step 2- Activity Inventory'!D389="","",'Step 2- Activity Inventory'!D389)</f>
        <v/>
      </c>
      <c r="H386" s="90"/>
      <c r="I386" s="24"/>
      <c r="J386" s="24"/>
      <c r="K386" s="91"/>
      <c r="L386" s="92" t="str">
        <f>IF(OR('Step 2- Activity Inventory'!O389=6,AND('Step 2- Activity Inventory'!O389=5,E386="Genius")),'Step 1- Hrly Rate Calc'!$D$18,"")</f>
        <v/>
      </c>
      <c r="M386" s="93" t="str">
        <f t="shared" si="15"/>
        <v/>
      </c>
      <c r="N386" s="93" t="str">
        <f>IF(L386="","",IF(IFERROR((G386/60)*M386*2*'Step 1- Hrly Rate Calc'!$D$14,"")&lt;0,"N/A",IFERROR((G386/60)*M386*2*'Step 1- Hrly Rate Calc'!$D$14,"")))</f>
        <v/>
      </c>
      <c r="O386" s="77" t="str">
        <f t="shared" si="16"/>
        <v/>
      </c>
      <c r="P386" s="77" t="str">
        <f t="shared" si="17"/>
        <v/>
      </c>
    </row>
    <row r="387" spans="2:16" s="61" customFormat="1" ht="34" customHeight="1" x14ac:dyDescent="0.2">
      <c r="B387" s="77" t="str">
        <f>IF('Step 2- Activity Inventory'!B390="","",'Step 2- Activity Inventory'!B390)</f>
        <v/>
      </c>
      <c r="C387" s="77" t="str">
        <f>IF('Step 2- Activity Inventory'!C390="","",'Step 2- Activity Inventory'!C390)</f>
        <v/>
      </c>
      <c r="D387" s="88" t="str">
        <f>IF('Step 2- Activity Inventory'!E390="","",'Step 2- Activity Inventory'!E390)</f>
        <v/>
      </c>
      <c r="E387" s="88" t="str">
        <f>IF('Step 2- Activity Inventory'!F390="","",'Step 2- Activity Inventory'!F390)</f>
        <v/>
      </c>
      <c r="F387" s="88" t="str">
        <f>IF(E387="Genius","N/A",IF('Step 2- Activity Inventory'!G390="","",'Step 2- Activity Inventory'!G390))</f>
        <v/>
      </c>
      <c r="G387" s="89" t="str">
        <f>IF('Step 2- Activity Inventory'!D390="","",'Step 2- Activity Inventory'!D390)</f>
        <v/>
      </c>
      <c r="H387" s="90"/>
      <c r="I387" s="24"/>
      <c r="J387" s="24"/>
      <c r="K387" s="91"/>
      <c r="L387" s="92" t="str">
        <f>IF(OR('Step 2- Activity Inventory'!O390=6,AND('Step 2- Activity Inventory'!O390=5,E387="Genius")),'Step 1- Hrly Rate Calc'!$D$18,"")</f>
        <v/>
      </c>
      <c r="M387" s="93" t="str">
        <f t="shared" si="15"/>
        <v/>
      </c>
      <c r="N387" s="93" t="str">
        <f>IF(L387="","",IF(IFERROR((G387/60)*M387*2*'Step 1- Hrly Rate Calc'!$D$14,"")&lt;0,"N/A",IFERROR((G387/60)*M387*2*'Step 1- Hrly Rate Calc'!$D$14,"")))</f>
        <v/>
      </c>
      <c r="O387" s="77" t="str">
        <f t="shared" si="16"/>
        <v/>
      </c>
      <c r="P387" s="77" t="str">
        <f t="shared" si="17"/>
        <v/>
      </c>
    </row>
    <row r="388" spans="2:16" s="61" customFormat="1" ht="34" customHeight="1" x14ac:dyDescent="0.2">
      <c r="B388" s="77" t="str">
        <f>IF('Step 2- Activity Inventory'!B391="","",'Step 2- Activity Inventory'!B391)</f>
        <v/>
      </c>
      <c r="C388" s="77" t="str">
        <f>IF('Step 2- Activity Inventory'!C391="","",'Step 2- Activity Inventory'!C391)</f>
        <v/>
      </c>
      <c r="D388" s="88" t="str">
        <f>IF('Step 2- Activity Inventory'!E391="","",'Step 2- Activity Inventory'!E391)</f>
        <v/>
      </c>
      <c r="E388" s="88" t="str">
        <f>IF('Step 2- Activity Inventory'!F391="","",'Step 2- Activity Inventory'!F391)</f>
        <v/>
      </c>
      <c r="F388" s="88" t="str">
        <f>IF(E388="Genius","N/A",IF('Step 2- Activity Inventory'!G391="","",'Step 2- Activity Inventory'!G391))</f>
        <v/>
      </c>
      <c r="G388" s="89" t="str">
        <f>IF('Step 2- Activity Inventory'!D391="","",'Step 2- Activity Inventory'!D391)</f>
        <v/>
      </c>
      <c r="H388" s="90"/>
      <c r="I388" s="24"/>
      <c r="J388" s="24"/>
      <c r="K388" s="91"/>
      <c r="L388" s="92" t="str">
        <f>IF(OR('Step 2- Activity Inventory'!O391=6,AND('Step 2- Activity Inventory'!O391=5,E388="Genius")),'Step 1- Hrly Rate Calc'!$D$18,"")</f>
        <v/>
      </c>
      <c r="M388" s="93" t="str">
        <f t="shared" si="15"/>
        <v/>
      </c>
      <c r="N388" s="93" t="str">
        <f>IF(L388="","",IF(IFERROR((G388/60)*M388*2*'Step 1- Hrly Rate Calc'!$D$14,"")&lt;0,"N/A",IFERROR((G388/60)*M388*2*'Step 1- Hrly Rate Calc'!$D$14,"")))</f>
        <v/>
      </c>
      <c r="O388" s="77" t="str">
        <f t="shared" si="16"/>
        <v/>
      </c>
      <c r="P388" s="77" t="str">
        <f t="shared" si="17"/>
        <v/>
      </c>
    </row>
    <row r="389" spans="2:16" s="61" customFormat="1" ht="34" customHeight="1" x14ac:dyDescent="0.2">
      <c r="B389" s="77" t="str">
        <f>IF('Step 2- Activity Inventory'!B392="","",'Step 2- Activity Inventory'!B392)</f>
        <v/>
      </c>
      <c r="C389" s="77" t="str">
        <f>IF('Step 2- Activity Inventory'!C392="","",'Step 2- Activity Inventory'!C392)</f>
        <v/>
      </c>
      <c r="D389" s="88" t="str">
        <f>IF('Step 2- Activity Inventory'!E392="","",'Step 2- Activity Inventory'!E392)</f>
        <v/>
      </c>
      <c r="E389" s="88" t="str">
        <f>IF('Step 2- Activity Inventory'!F392="","",'Step 2- Activity Inventory'!F392)</f>
        <v/>
      </c>
      <c r="F389" s="88" t="str">
        <f>IF(E389="Genius","N/A",IF('Step 2- Activity Inventory'!G392="","",'Step 2- Activity Inventory'!G392))</f>
        <v/>
      </c>
      <c r="G389" s="89" t="str">
        <f>IF('Step 2- Activity Inventory'!D392="","",'Step 2- Activity Inventory'!D392)</f>
        <v/>
      </c>
      <c r="H389" s="90"/>
      <c r="I389" s="24"/>
      <c r="J389" s="24"/>
      <c r="K389" s="91"/>
      <c r="L389" s="92" t="str">
        <f>IF(OR('Step 2- Activity Inventory'!O392=6,AND('Step 2- Activity Inventory'!O392=5,E389="Genius")),'Step 1- Hrly Rate Calc'!$D$18,"")</f>
        <v/>
      </c>
      <c r="M389" s="93" t="str">
        <f t="shared" si="15"/>
        <v/>
      </c>
      <c r="N389" s="93" t="str">
        <f>IF(L389="","",IF(IFERROR((G389/60)*M389*2*'Step 1- Hrly Rate Calc'!$D$14,"")&lt;0,"N/A",IFERROR((G389/60)*M389*2*'Step 1- Hrly Rate Calc'!$D$14,"")))</f>
        <v/>
      </c>
      <c r="O389" s="77" t="str">
        <f t="shared" si="16"/>
        <v/>
      </c>
      <c r="P389" s="77" t="str">
        <f t="shared" si="17"/>
        <v/>
      </c>
    </row>
    <row r="390" spans="2:16" s="61" customFormat="1" ht="34" customHeight="1" x14ac:dyDescent="0.2">
      <c r="B390" s="77" t="str">
        <f>IF('Step 2- Activity Inventory'!B393="","",'Step 2- Activity Inventory'!B393)</f>
        <v/>
      </c>
      <c r="C390" s="77" t="str">
        <f>IF('Step 2- Activity Inventory'!C393="","",'Step 2- Activity Inventory'!C393)</f>
        <v/>
      </c>
      <c r="D390" s="88" t="str">
        <f>IF('Step 2- Activity Inventory'!E393="","",'Step 2- Activity Inventory'!E393)</f>
        <v/>
      </c>
      <c r="E390" s="88" t="str">
        <f>IF('Step 2- Activity Inventory'!F393="","",'Step 2- Activity Inventory'!F393)</f>
        <v/>
      </c>
      <c r="F390" s="88" t="str">
        <f>IF(E390="Genius","N/A",IF('Step 2- Activity Inventory'!G393="","",'Step 2- Activity Inventory'!G393))</f>
        <v/>
      </c>
      <c r="G390" s="89" t="str">
        <f>IF('Step 2- Activity Inventory'!D393="","",'Step 2- Activity Inventory'!D393)</f>
        <v/>
      </c>
      <c r="H390" s="90"/>
      <c r="I390" s="24"/>
      <c r="J390" s="24"/>
      <c r="K390" s="91"/>
      <c r="L390" s="92" t="str">
        <f>IF(OR('Step 2- Activity Inventory'!O393=6,AND('Step 2- Activity Inventory'!O393=5,E390="Genius")),'Step 1- Hrly Rate Calc'!$D$18,"")</f>
        <v/>
      </c>
      <c r="M390" s="93" t="str">
        <f t="shared" si="15"/>
        <v/>
      </c>
      <c r="N390" s="93" t="str">
        <f>IF(L390="","",IF(IFERROR((G390/60)*M390*2*'Step 1- Hrly Rate Calc'!$D$14,"")&lt;0,"N/A",IFERROR((G390/60)*M390*2*'Step 1- Hrly Rate Calc'!$D$14,"")))</f>
        <v/>
      </c>
      <c r="O390" s="77" t="str">
        <f t="shared" si="16"/>
        <v/>
      </c>
      <c r="P390" s="77" t="str">
        <f t="shared" si="17"/>
        <v/>
      </c>
    </row>
    <row r="391" spans="2:16" s="61" customFormat="1" ht="34" customHeight="1" x14ac:dyDescent="0.2">
      <c r="B391" s="77" t="str">
        <f>IF('Step 2- Activity Inventory'!B394="","",'Step 2- Activity Inventory'!B394)</f>
        <v/>
      </c>
      <c r="C391" s="77" t="str">
        <f>IF('Step 2- Activity Inventory'!C394="","",'Step 2- Activity Inventory'!C394)</f>
        <v/>
      </c>
      <c r="D391" s="88" t="str">
        <f>IF('Step 2- Activity Inventory'!E394="","",'Step 2- Activity Inventory'!E394)</f>
        <v/>
      </c>
      <c r="E391" s="88" t="str">
        <f>IF('Step 2- Activity Inventory'!F394="","",'Step 2- Activity Inventory'!F394)</f>
        <v/>
      </c>
      <c r="F391" s="88" t="str">
        <f>IF(E391="Genius","N/A",IF('Step 2- Activity Inventory'!G394="","",'Step 2- Activity Inventory'!G394))</f>
        <v/>
      </c>
      <c r="G391" s="89" t="str">
        <f>IF('Step 2- Activity Inventory'!D394="","",'Step 2- Activity Inventory'!D394)</f>
        <v/>
      </c>
      <c r="H391" s="90"/>
      <c r="I391" s="24"/>
      <c r="J391" s="24"/>
      <c r="K391" s="91"/>
      <c r="L391" s="92" t="str">
        <f>IF(OR('Step 2- Activity Inventory'!O394=6,AND('Step 2- Activity Inventory'!O394=5,E391="Genius")),'Step 1- Hrly Rate Calc'!$D$18,"")</f>
        <v/>
      </c>
      <c r="M391" s="93" t="str">
        <f t="shared" si="15"/>
        <v/>
      </c>
      <c r="N391" s="93" t="str">
        <f>IF(L391="","",IF(IFERROR((G391/60)*M391*2*'Step 1- Hrly Rate Calc'!$D$14,"")&lt;0,"N/A",IFERROR((G391/60)*M391*2*'Step 1- Hrly Rate Calc'!$D$14,"")))</f>
        <v/>
      </c>
      <c r="O391" s="77" t="str">
        <f t="shared" si="16"/>
        <v/>
      </c>
      <c r="P391" s="77" t="str">
        <f t="shared" si="17"/>
        <v/>
      </c>
    </row>
    <row r="392" spans="2:16" s="61" customFormat="1" ht="34" customHeight="1" x14ac:dyDescent="0.2">
      <c r="B392" s="77" t="str">
        <f>IF('Step 2- Activity Inventory'!B395="","",'Step 2- Activity Inventory'!B395)</f>
        <v/>
      </c>
      <c r="C392" s="77" t="str">
        <f>IF('Step 2- Activity Inventory'!C395="","",'Step 2- Activity Inventory'!C395)</f>
        <v/>
      </c>
      <c r="D392" s="88" t="str">
        <f>IF('Step 2- Activity Inventory'!E395="","",'Step 2- Activity Inventory'!E395)</f>
        <v/>
      </c>
      <c r="E392" s="88" t="str">
        <f>IF('Step 2- Activity Inventory'!F395="","",'Step 2- Activity Inventory'!F395)</f>
        <v/>
      </c>
      <c r="F392" s="88" t="str">
        <f>IF(E392="Genius","N/A",IF('Step 2- Activity Inventory'!G395="","",'Step 2- Activity Inventory'!G395))</f>
        <v/>
      </c>
      <c r="G392" s="89" t="str">
        <f>IF('Step 2- Activity Inventory'!D395="","",'Step 2- Activity Inventory'!D395)</f>
        <v/>
      </c>
      <c r="H392" s="90"/>
      <c r="I392" s="24"/>
      <c r="J392" s="24"/>
      <c r="K392" s="91"/>
      <c r="L392" s="92" t="str">
        <f>IF(OR('Step 2- Activity Inventory'!O395=6,AND('Step 2- Activity Inventory'!O395=5,E392="Genius")),'Step 1- Hrly Rate Calc'!$D$18,"")</f>
        <v/>
      </c>
      <c r="M392" s="93" t="str">
        <f t="shared" si="15"/>
        <v/>
      </c>
      <c r="N392" s="93" t="str">
        <f>IF(L392="","",IF(IFERROR((G392/60)*M392*2*'Step 1- Hrly Rate Calc'!$D$14,"")&lt;0,"N/A",IFERROR((G392/60)*M392*2*'Step 1- Hrly Rate Calc'!$D$14,"")))</f>
        <v/>
      </c>
      <c r="O392" s="77" t="str">
        <f t="shared" si="16"/>
        <v/>
      </c>
      <c r="P392" s="77" t="str">
        <f t="shared" si="17"/>
        <v/>
      </c>
    </row>
    <row r="393" spans="2:16" s="61" customFormat="1" ht="34" customHeight="1" x14ac:dyDescent="0.2">
      <c r="B393" s="77" t="str">
        <f>IF('Step 2- Activity Inventory'!B396="","",'Step 2- Activity Inventory'!B396)</f>
        <v/>
      </c>
      <c r="C393" s="77" t="str">
        <f>IF('Step 2- Activity Inventory'!C396="","",'Step 2- Activity Inventory'!C396)</f>
        <v/>
      </c>
      <c r="D393" s="88" t="str">
        <f>IF('Step 2- Activity Inventory'!E396="","",'Step 2- Activity Inventory'!E396)</f>
        <v/>
      </c>
      <c r="E393" s="88" t="str">
        <f>IF('Step 2- Activity Inventory'!F396="","",'Step 2- Activity Inventory'!F396)</f>
        <v/>
      </c>
      <c r="F393" s="88" t="str">
        <f>IF(E393="Genius","N/A",IF('Step 2- Activity Inventory'!G396="","",'Step 2- Activity Inventory'!G396))</f>
        <v/>
      </c>
      <c r="G393" s="89" t="str">
        <f>IF('Step 2- Activity Inventory'!D396="","",'Step 2- Activity Inventory'!D396)</f>
        <v/>
      </c>
      <c r="H393" s="90"/>
      <c r="I393" s="24"/>
      <c r="J393" s="24"/>
      <c r="K393" s="91"/>
      <c r="L393" s="92" t="str">
        <f>IF(OR('Step 2- Activity Inventory'!O396=6,AND('Step 2- Activity Inventory'!O396=5,E393="Genius")),'Step 1- Hrly Rate Calc'!$D$18,"")</f>
        <v/>
      </c>
      <c r="M393" s="93" t="str">
        <f t="shared" ref="M393:M456" si="18">IF(B393="","",IFERROR(K393-L393,""))</f>
        <v/>
      </c>
      <c r="N393" s="93" t="str">
        <f>IF(L393="","",IF(IFERROR((G393/60)*M393*2*'Step 1- Hrly Rate Calc'!$D$14,"")&lt;0,"N/A",IFERROR((G393/60)*M393*2*'Step 1- Hrly Rate Calc'!$D$14,"")))</f>
        <v/>
      </c>
      <c r="O393" s="77" t="str">
        <f t="shared" ref="O393:O456" si="19">IF(E393="Genius","KEEP DOING",IF(L393="","",IF(K393&gt;(L393*0.75),"KEEP DOING","STOP DOING")))</f>
        <v/>
      </c>
      <c r="P393" s="77" t="str">
        <f t="shared" ref="P393:P456" si="20">IF(L393="","",IF(O393="STOP DOING",IF(J393="Yes","Ready to Stop Doing","Not Ready"),"N/A"))</f>
        <v/>
      </c>
    </row>
    <row r="394" spans="2:16" s="61" customFormat="1" ht="34" customHeight="1" x14ac:dyDescent="0.2">
      <c r="B394" s="77" t="str">
        <f>IF('Step 2- Activity Inventory'!B397="","",'Step 2- Activity Inventory'!B397)</f>
        <v/>
      </c>
      <c r="C394" s="77" t="str">
        <f>IF('Step 2- Activity Inventory'!C397="","",'Step 2- Activity Inventory'!C397)</f>
        <v/>
      </c>
      <c r="D394" s="88" t="str">
        <f>IF('Step 2- Activity Inventory'!E397="","",'Step 2- Activity Inventory'!E397)</f>
        <v/>
      </c>
      <c r="E394" s="88" t="str">
        <f>IF('Step 2- Activity Inventory'!F397="","",'Step 2- Activity Inventory'!F397)</f>
        <v/>
      </c>
      <c r="F394" s="88" t="str">
        <f>IF(E394="Genius","N/A",IF('Step 2- Activity Inventory'!G397="","",'Step 2- Activity Inventory'!G397))</f>
        <v/>
      </c>
      <c r="G394" s="89" t="str">
        <f>IF('Step 2- Activity Inventory'!D397="","",'Step 2- Activity Inventory'!D397)</f>
        <v/>
      </c>
      <c r="H394" s="90"/>
      <c r="I394" s="24"/>
      <c r="J394" s="24"/>
      <c r="K394" s="91"/>
      <c r="L394" s="92" t="str">
        <f>IF(OR('Step 2- Activity Inventory'!O397=6,AND('Step 2- Activity Inventory'!O397=5,E394="Genius")),'Step 1- Hrly Rate Calc'!$D$18,"")</f>
        <v/>
      </c>
      <c r="M394" s="93" t="str">
        <f t="shared" si="18"/>
        <v/>
      </c>
      <c r="N394" s="93" t="str">
        <f>IF(L394="","",IF(IFERROR((G394/60)*M394*2*'Step 1- Hrly Rate Calc'!$D$14,"")&lt;0,"N/A",IFERROR((G394/60)*M394*2*'Step 1- Hrly Rate Calc'!$D$14,"")))</f>
        <v/>
      </c>
      <c r="O394" s="77" t="str">
        <f t="shared" si="19"/>
        <v/>
      </c>
      <c r="P394" s="77" t="str">
        <f t="shared" si="20"/>
        <v/>
      </c>
    </row>
    <row r="395" spans="2:16" s="61" customFormat="1" ht="34" customHeight="1" x14ac:dyDescent="0.2">
      <c r="B395" s="77" t="str">
        <f>IF('Step 2- Activity Inventory'!B398="","",'Step 2- Activity Inventory'!B398)</f>
        <v/>
      </c>
      <c r="C395" s="77" t="str">
        <f>IF('Step 2- Activity Inventory'!C398="","",'Step 2- Activity Inventory'!C398)</f>
        <v/>
      </c>
      <c r="D395" s="88" t="str">
        <f>IF('Step 2- Activity Inventory'!E398="","",'Step 2- Activity Inventory'!E398)</f>
        <v/>
      </c>
      <c r="E395" s="88" t="str">
        <f>IF('Step 2- Activity Inventory'!F398="","",'Step 2- Activity Inventory'!F398)</f>
        <v/>
      </c>
      <c r="F395" s="88" t="str">
        <f>IF(E395="Genius","N/A",IF('Step 2- Activity Inventory'!G398="","",'Step 2- Activity Inventory'!G398))</f>
        <v/>
      </c>
      <c r="G395" s="89" t="str">
        <f>IF('Step 2- Activity Inventory'!D398="","",'Step 2- Activity Inventory'!D398)</f>
        <v/>
      </c>
      <c r="H395" s="90"/>
      <c r="I395" s="24"/>
      <c r="J395" s="24"/>
      <c r="K395" s="91"/>
      <c r="L395" s="92" t="str">
        <f>IF(OR('Step 2- Activity Inventory'!O398=6,AND('Step 2- Activity Inventory'!O398=5,E395="Genius")),'Step 1- Hrly Rate Calc'!$D$18,"")</f>
        <v/>
      </c>
      <c r="M395" s="93" t="str">
        <f t="shared" si="18"/>
        <v/>
      </c>
      <c r="N395" s="93" t="str">
        <f>IF(L395="","",IF(IFERROR((G395/60)*M395*2*'Step 1- Hrly Rate Calc'!$D$14,"")&lt;0,"N/A",IFERROR((G395/60)*M395*2*'Step 1- Hrly Rate Calc'!$D$14,"")))</f>
        <v/>
      </c>
      <c r="O395" s="77" t="str">
        <f t="shared" si="19"/>
        <v/>
      </c>
      <c r="P395" s="77" t="str">
        <f t="shared" si="20"/>
        <v/>
      </c>
    </row>
    <row r="396" spans="2:16" s="61" customFormat="1" ht="34" customHeight="1" x14ac:dyDescent="0.2">
      <c r="B396" s="77" t="str">
        <f>IF('Step 2- Activity Inventory'!B399="","",'Step 2- Activity Inventory'!B399)</f>
        <v/>
      </c>
      <c r="C396" s="77" t="str">
        <f>IF('Step 2- Activity Inventory'!C399="","",'Step 2- Activity Inventory'!C399)</f>
        <v/>
      </c>
      <c r="D396" s="88" t="str">
        <f>IF('Step 2- Activity Inventory'!E399="","",'Step 2- Activity Inventory'!E399)</f>
        <v/>
      </c>
      <c r="E396" s="88" t="str">
        <f>IF('Step 2- Activity Inventory'!F399="","",'Step 2- Activity Inventory'!F399)</f>
        <v/>
      </c>
      <c r="F396" s="88" t="str">
        <f>IF(E396="Genius","N/A",IF('Step 2- Activity Inventory'!G399="","",'Step 2- Activity Inventory'!G399))</f>
        <v/>
      </c>
      <c r="G396" s="89" t="str">
        <f>IF('Step 2- Activity Inventory'!D399="","",'Step 2- Activity Inventory'!D399)</f>
        <v/>
      </c>
      <c r="H396" s="90"/>
      <c r="I396" s="24"/>
      <c r="J396" s="24"/>
      <c r="K396" s="91"/>
      <c r="L396" s="92" t="str">
        <f>IF(OR('Step 2- Activity Inventory'!O399=6,AND('Step 2- Activity Inventory'!O399=5,E396="Genius")),'Step 1- Hrly Rate Calc'!$D$18,"")</f>
        <v/>
      </c>
      <c r="M396" s="93" t="str">
        <f t="shared" si="18"/>
        <v/>
      </c>
      <c r="N396" s="93" t="str">
        <f>IF(L396="","",IF(IFERROR((G396/60)*M396*2*'Step 1- Hrly Rate Calc'!$D$14,"")&lt;0,"N/A",IFERROR((G396/60)*M396*2*'Step 1- Hrly Rate Calc'!$D$14,"")))</f>
        <v/>
      </c>
      <c r="O396" s="77" t="str">
        <f t="shared" si="19"/>
        <v/>
      </c>
      <c r="P396" s="77" t="str">
        <f t="shared" si="20"/>
        <v/>
      </c>
    </row>
    <row r="397" spans="2:16" s="61" customFormat="1" ht="34" customHeight="1" x14ac:dyDescent="0.2">
      <c r="B397" s="77" t="str">
        <f>IF('Step 2- Activity Inventory'!B400="","",'Step 2- Activity Inventory'!B400)</f>
        <v/>
      </c>
      <c r="C397" s="77" t="str">
        <f>IF('Step 2- Activity Inventory'!C400="","",'Step 2- Activity Inventory'!C400)</f>
        <v/>
      </c>
      <c r="D397" s="88" t="str">
        <f>IF('Step 2- Activity Inventory'!E400="","",'Step 2- Activity Inventory'!E400)</f>
        <v/>
      </c>
      <c r="E397" s="88" t="str">
        <f>IF('Step 2- Activity Inventory'!F400="","",'Step 2- Activity Inventory'!F400)</f>
        <v/>
      </c>
      <c r="F397" s="88" t="str">
        <f>IF(E397="Genius","N/A",IF('Step 2- Activity Inventory'!G400="","",'Step 2- Activity Inventory'!G400))</f>
        <v/>
      </c>
      <c r="G397" s="89" t="str">
        <f>IF('Step 2- Activity Inventory'!D400="","",'Step 2- Activity Inventory'!D400)</f>
        <v/>
      </c>
      <c r="H397" s="90"/>
      <c r="I397" s="24"/>
      <c r="J397" s="24"/>
      <c r="K397" s="91"/>
      <c r="L397" s="92" t="str">
        <f>IF(OR('Step 2- Activity Inventory'!O400=6,AND('Step 2- Activity Inventory'!O400=5,E397="Genius")),'Step 1- Hrly Rate Calc'!$D$18,"")</f>
        <v/>
      </c>
      <c r="M397" s="93" t="str">
        <f t="shared" si="18"/>
        <v/>
      </c>
      <c r="N397" s="93" t="str">
        <f>IF(L397="","",IF(IFERROR((G397/60)*M397*2*'Step 1- Hrly Rate Calc'!$D$14,"")&lt;0,"N/A",IFERROR((G397/60)*M397*2*'Step 1- Hrly Rate Calc'!$D$14,"")))</f>
        <v/>
      </c>
      <c r="O397" s="77" t="str">
        <f t="shared" si="19"/>
        <v/>
      </c>
      <c r="P397" s="77" t="str">
        <f t="shared" si="20"/>
        <v/>
      </c>
    </row>
    <row r="398" spans="2:16" s="61" customFormat="1" ht="34" customHeight="1" x14ac:dyDescent="0.2">
      <c r="B398" s="77" t="str">
        <f>IF('Step 2- Activity Inventory'!B401="","",'Step 2- Activity Inventory'!B401)</f>
        <v/>
      </c>
      <c r="C398" s="77" t="str">
        <f>IF('Step 2- Activity Inventory'!C401="","",'Step 2- Activity Inventory'!C401)</f>
        <v/>
      </c>
      <c r="D398" s="88" t="str">
        <f>IF('Step 2- Activity Inventory'!E401="","",'Step 2- Activity Inventory'!E401)</f>
        <v/>
      </c>
      <c r="E398" s="88" t="str">
        <f>IF('Step 2- Activity Inventory'!F401="","",'Step 2- Activity Inventory'!F401)</f>
        <v/>
      </c>
      <c r="F398" s="88" t="str">
        <f>IF(E398="Genius","N/A",IF('Step 2- Activity Inventory'!G401="","",'Step 2- Activity Inventory'!G401))</f>
        <v/>
      </c>
      <c r="G398" s="89" t="str">
        <f>IF('Step 2- Activity Inventory'!D401="","",'Step 2- Activity Inventory'!D401)</f>
        <v/>
      </c>
      <c r="H398" s="90"/>
      <c r="I398" s="24"/>
      <c r="J398" s="24"/>
      <c r="K398" s="91"/>
      <c r="L398" s="92" t="str">
        <f>IF(OR('Step 2- Activity Inventory'!O401=6,AND('Step 2- Activity Inventory'!O401=5,E398="Genius")),'Step 1- Hrly Rate Calc'!$D$18,"")</f>
        <v/>
      </c>
      <c r="M398" s="93" t="str">
        <f t="shared" si="18"/>
        <v/>
      </c>
      <c r="N398" s="93" t="str">
        <f>IF(L398="","",IF(IFERROR((G398/60)*M398*2*'Step 1- Hrly Rate Calc'!$D$14,"")&lt;0,"N/A",IFERROR((G398/60)*M398*2*'Step 1- Hrly Rate Calc'!$D$14,"")))</f>
        <v/>
      </c>
      <c r="O398" s="77" t="str">
        <f t="shared" si="19"/>
        <v/>
      </c>
      <c r="P398" s="77" t="str">
        <f t="shared" si="20"/>
        <v/>
      </c>
    </row>
    <row r="399" spans="2:16" s="61" customFormat="1" ht="34" customHeight="1" x14ac:dyDescent="0.2">
      <c r="B399" s="77" t="str">
        <f>IF('Step 2- Activity Inventory'!B402="","",'Step 2- Activity Inventory'!B402)</f>
        <v/>
      </c>
      <c r="C399" s="77" t="str">
        <f>IF('Step 2- Activity Inventory'!C402="","",'Step 2- Activity Inventory'!C402)</f>
        <v/>
      </c>
      <c r="D399" s="88" t="str">
        <f>IF('Step 2- Activity Inventory'!E402="","",'Step 2- Activity Inventory'!E402)</f>
        <v/>
      </c>
      <c r="E399" s="88" t="str">
        <f>IF('Step 2- Activity Inventory'!F402="","",'Step 2- Activity Inventory'!F402)</f>
        <v/>
      </c>
      <c r="F399" s="88" t="str">
        <f>IF(E399="Genius","N/A",IF('Step 2- Activity Inventory'!G402="","",'Step 2- Activity Inventory'!G402))</f>
        <v/>
      </c>
      <c r="G399" s="89" t="str">
        <f>IF('Step 2- Activity Inventory'!D402="","",'Step 2- Activity Inventory'!D402)</f>
        <v/>
      </c>
      <c r="H399" s="90"/>
      <c r="I399" s="24"/>
      <c r="J399" s="24"/>
      <c r="K399" s="91"/>
      <c r="L399" s="92" t="str">
        <f>IF(OR('Step 2- Activity Inventory'!O402=6,AND('Step 2- Activity Inventory'!O402=5,E399="Genius")),'Step 1- Hrly Rate Calc'!$D$18,"")</f>
        <v/>
      </c>
      <c r="M399" s="93" t="str">
        <f t="shared" si="18"/>
        <v/>
      </c>
      <c r="N399" s="93" t="str">
        <f>IF(L399="","",IF(IFERROR((G399/60)*M399*2*'Step 1- Hrly Rate Calc'!$D$14,"")&lt;0,"N/A",IFERROR((G399/60)*M399*2*'Step 1- Hrly Rate Calc'!$D$14,"")))</f>
        <v/>
      </c>
      <c r="O399" s="77" t="str">
        <f t="shared" si="19"/>
        <v/>
      </c>
      <c r="P399" s="77" t="str">
        <f t="shared" si="20"/>
        <v/>
      </c>
    </row>
    <row r="400" spans="2:16" s="61" customFormat="1" ht="34" customHeight="1" x14ac:dyDescent="0.2">
      <c r="B400" s="77" t="str">
        <f>IF('Step 2- Activity Inventory'!B403="","",'Step 2- Activity Inventory'!B403)</f>
        <v/>
      </c>
      <c r="C400" s="77" t="str">
        <f>IF('Step 2- Activity Inventory'!C403="","",'Step 2- Activity Inventory'!C403)</f>
        <v/>
      </c>
      <c r="D400" s="88" t="str">
        <f>IF('Step 2- Activity Inventory'!E403="","",'Step 2- Activity Inventory'!E403)</f>
        <v/>
      </c>
      <c r="E400" s="88" t="str">
        <f>IF('Step 2- Activity Inventory'!F403="","",'Step 2- Activity Inventory'!F403)</f>
        <v/>
      </c>
      <c r="F400" s="88" t="str">
        <f>IF(E400="Genius","N/A",IF('Step 2- Activity Inventory'!G403="","",'Step 2- Activity Inventory'!G403))</f>
        <v/>
      </c>
      <c r="G400" s="89" t="str">
        <f>IF('Step 2- Activity Inventory'!D403="","",'Step 2- Activity Inventory'!D403)</f>
        <v/>
      </c>
      <c r="H400" s="90"/>
      <c r="I400" s="24"/>
      <c r="J400" s="24"/>
      <c r="K400" s="91"/>
      <c r="L400" s="92" t="str">
        <f>IF(OR('Step 2- Activity Inventory'!O403=6,AND('Step 2- Activity Inventory'!O403=5,E400="Genius")),'Step 1- Hrly Rate Calc'!$D$18,"")</f>
        <v/>
      </c>
      <c r="M400" s="93" t="str">
        <f t="shared" si="18"/>
        <v/>
      </c>
      <c r="N400" s="93" t="str">
        <f>IF(L400="","",IF(IFERROR((G400/60)*M400*2*'Step 1- Hrly Rate Calc'!$D$14,"")&lt;0,"N/A",IFERROR((G400/60)*M400*2*'Step 1- Hrly Rate Calc'!$D$14,"")))</f>
        <v/>
      </c>
      <c r="O400" s="77" t="str">
        <f t="shared" si="19"/>
        <v/>
      </c>
      <c r="P400" s="77" t="str">
        <f t="shared" si="20"/>
        <v/>
      </c>
    </row>
    <row r="401" spans="2:16" s="61" customFormat="1" ht="34" customHeight="1" x14ac:dyDescent="0.2">
      <c r="B401" s="77" t="str">
        <f>IF('Step 2- Activity Inventory'!B404="","",'Step 2- Activity Inventory'!B404)</f>
        <v/>
      </c>
      <c r="C401" s="77" t="str">
        <f>IF('Step 2- Activity Inventory'!C404="","",'Step 2- Activity Inventory'!C404)</f>
        <v/>
      </c>
      <c r="D401" s="88" t="str">
        <f>IF('Step 2- Activity Inventory'!E404="","",'Step 2- Activity Inventory'!E404)</f>
        <v/>
      </c>
      <c r="E401" s="88" t="str">
        <f>IF('Step 2- Activity Inventory'!F404="","",'Step 2- Activity Inventory'!F404)</f>
        <v/>
      </c>
      <c r="F401" s="88" t="str">
        <f>IF(E401="Genius","N/A",IF('Step 2- Activity Inventory'!G404="","",'Step 2- Activity Inventory'!G404))</f>
        <v/>
      </c>
      <c r="G401" s="89" t="str">
        <f>IF('Step 2- Activity Inventory'!D404="","",'Step 2- Activity Inventory'!D404)</f>
        <v/>
      </c>
      <c r="H401" s="90"/>
      <c r="I401" s="24"/>
      <c r="J401" s="24"/>
      <c r="K401" s="91"/>
      <c r="L401" s="92" t="str">
        <f>IF(OR('Step 2- Activity Inventory'!O404=6,AND('Step 2- Activity Inventory'!O404=5,E401="Genius")),'Step 1- Hrly Rate Calc'!$D$18,"")</f>
        <v/>
      </c>
      <c r="M401" s="93" t="str">
        <f t="shared" si="18"/>
        <v/>
      </c>
      <c r="N401" s="93" t="str">
        <f>IF(L401="","",IF(IFERROR((G401/60)*M401*2*'Step 1- Hrly Rate Calc'!$D$14,"")&lt;0,"N/A",IFERROR((G401/60)*M401*2*'Step 1- Hrly Rate Calc'!$D$14,"")))</f>
        <v/>
      </c>
      <c r="O401" s="77" t="str">
        <f t="shared" si="19"/>
        <v/>
      </c>
      <c r="P401" s="77" t="str">
        <f t="shared" si="20"/>
        <v/>
      </c>
    </row>
    <row r="402" spans="2:16" s="61" customFormat="1" ht="34" customHeight="1" x14ac:dyDescent="0.2">
      <c r="B402" s="77" t="str">
        <f>IF('Step 2- Activity Inventory'!B405="","",'Step 2- Activity Inventory'!B405)</f>
        <v/>
      </c>
      <c r="C402" s="77" t="str">
        <f>IF('Step 2- Activity Inventory'!C405="","",'Step 2- Activity Inventory'!C405)</f>
        <v/>
      </c>
      <c r="D402" s="88" t="str">
        <f>IF('Step 2- Activity Inventory'!E405="","",'Step 2- Activity Inventory'!E405)</f>
        <v/>
      </c>
      <c r="E402" s="88" t="str">
        <f>IF('Step 2- Activity Inventory'!F405="","",'Step 2- Activity Inventory'!F405)</f>
        <v/>
      </c>
      <c r="F402" s="88" t="str">
        <f>IF(E402="Genius","N/A",IF('Step 2- Activity Inventory'!G405="","",'Step 2- Activity Inventory'!G405))</f>
        <v/>
      </c>
      <c r="G402" s="89" t="str">
        <f>IF('Step 2- Activity Inventory'!D405="","",'Step 2- Activity Inventory'!D405)</f>
        <v/>
      </c>
      <c r="H402" s="90"/>
      <c r="I402" s="24"/>
      <c r="J402" s="24"/>
      <c r="K402" s="91"/>
      <c r="L402" s="92" t="str">
        <f>IF(OR('Step 2- Activity Inventory'!O405=6,AND('Step 2- Activity Inventory'!O405=5,E402="Genius")),'Step 1- Hrly Rate Calc'!$D$18,"")</f>
        <v/>
      </c>
      <c r="M402" s="93" t="str">
        <f t="shared" si="18"/>
        <v/>
      </c>
      <c r="N402" s="93" t="str">
        <f>IF(L402="","",IF(IFERROR((G402/60)*M402*2*'Step 1- Hrly Rate Calc'!$D$14,"")&lt;0,"N/A",IFERROR((G402/60)*M402*2*'Step 1- Hrly Rate Calc'!$D$14,"")))</f>
        <v/>
      </c>
      <c r="O402" s="77" t="str">
        <f t="shared" si="19"/>
        <v/>
      </c>
      <c r="P402" s="77" t="str">
        <f t="shared" si="20"/>
        <v/>
      </c>
    </row>
    <row r="403" spans="2:16" s="61" customFormat="1" ht="34" customHeight="1" x14ac:dyDescent="0.2">
      <c r="B403" s="77" t="str">
        <f>IF('Step 2- Activity Inventory'!B406="","",'Step 2- Activity Inventory'!B406)</f>
        <v/>
      </c>
      <c r="C403" s="77" t="str">
        <f>IF('Step 2- Activity Inventory'!C406="","",'Step 2- Activity Inventory'!C406)</f>
        <v/>
      </c>
      <c r="D403" s="88" t="str">
        <f>IF('Step 2- Activity Inventory'!E406="","",'Step 2- Activity Inventory'!E406)</f>
        <v/>
      </c>
      <c r="E403" s="88" t="str">
        <f>IF('Step 2- Activity Inventory'!F406="","",'Step 2- Activity Inventory'!F406)</f>
        <v/>
      </c>
      <c r="F403" s="88" t="str">
        <f>IF(E403="Genius","N/A",IF('Step 2- Activity Inventory'!G406="","",'Step 2- Activity Inventory'!G406))</f>
        <v/>
      </c>
      <c r="G403" s="89" t="str">
        <f>IF('Step 2- Activity Inventory'!D406="","",'Step 2- Activity Inventory'!D406)</f>
        <v/>
      </c>
      <c r="H403" s="90"/>
      <c r="I403" s="24"/>
      <c r="J403" s="24"/>
      <c r="K403" s="91"/>
      <c r="L403" s="92" t="str">
        <f>IF(OR('Step 2- Activity Inventory'!O406=6,AND('Step 2- Activity Inventory'!O406=5,E403="Genius")),'Step 1- Hrly Rate Calc'!$D$18,"")</f>
        <v/>
      </c>
      <c r="M403" s="93" t="str">
        <f t="shared" si="18"/>
        <v/>
      </c>
      <c r="N403" s="93" t="str">
        <f>IF(L403="","",IF(IFERROR((G403/60)*M403*2*'Step 1- Hrly Rate Calc'!$D$14,"")&lt;0,"N/A",IFERROR((G403/60)*M403*2*'Step 1- Hrly Rate Calc'!$D$14,"")))</f>
        <v/>
      </c>
      <c r="O403" s="77" t="str">
        <f t="shared" si="19"/>
        <v/>
      </c>
      <c r="P403" s="77" t="str">
        <f t="shared" si="20"/>
        <v/>
      </c>
    </row>
    <row r="404" spans="2:16" s="61" customFormat="1" ht="34" customHeight="1" x14ac:dyDescent="0.2">
      <c r="B404" s="77" t="str">
        <f>IF('Step 2- Activity Inventory'!B407="","",'Step 2- Activity Inventory'!B407)</f>
        <v/>
      </c>
      <c r="C404" s="77" t="str">
        <f>IF('Step 2- Activity Inventory'!C407="","",'Step 2- Activity Inventory'!C407)</f>
        <v/>
      </c>
      <c r="D404" s="88" t="str">
        <f>IF('Step 2- Activity Inventory'!E407="","",'Step 2- Activity Inventory'!E407)</f>
        <v/>
      </c>
      <c r="E404" s="88" t="str">
        <f>IF('Step 2- Activity Inventory'!F407="","",'Step 2- Activity Inventory'!F407)</f>
        <v/>
      </c>
      <c r="F404" s="88" t="str">
        <f>IF(E404="Genius","N/A",IF('Step 2- Activity Inventory'!G407="","",'Step 2- Activity Inventory'!G407))</f>
        <v/>
      </c>
      <c r="G404" s="89" t="str">
        <f>IF('Step 2- Activity Inventory'!D407="","",'Step 2- Activity Inventory'!D407)</f>
        <v/>
      </c>
      <c r="H404" s="90"/>
      <c r="I404" s="24"/>
      <c r="J404" s="24"/>
      <c r="K404" s="91"/>
      <c r="L404" s="92" t="str">
        <f>IF(OR('Step 2- Activity Inventory'!O407=6,AND('Step 2- Activity Inventory'!O407=5,E404="Genius")),'Step 1- Hrly Rate Calc'!$D$18,"")</f>
        <v/>
      </c>
      <c r="M404" s="93" t="str">
        <f t="shared" si="18"/>
        <v/>
      </c>
      <c r="N404" s="93" t="str">
        <f>IF(L404="","",IF(IFERROR((G404/60)*M404*2*'Step 1- Hrly Rate Calc'!$D$14,"")&lt;0,"N/A",IFERROR((G404/60)*M404*2*'Step 1- Hrly Rate Calc'!$D$14,"")))</f>
        <v/>
      </c>
      <c r="O404" s="77" t="str">
        <f t="shared" si="19"/>
        <v/>
      </c>
      <c r="P404" s="77" t="str">
        <f t="shared" si="20"/>
        <v/>
      </c>
    </row>
    <row r="405" spans="2:16" s="61" customFormat="1" ht="34" customHeight="1" x14ac:dyDescent="0.2">
      <c r="B405" s="77" t="str">
        <f>IF('Step 2- Activity Inventory'!B408="","",'Step 2- Activity Inventory'!B408)</f>
        <v/>
      </c>
      <c r="C405" s="77" t="str">
        <f>IF('Step 2- Activity Inventory'!C408="","",'Step 2- Activity Inventory'!C408)</f>
        <v/>
      </c>
      <c r="D405" s="88" t="str">
        <f>IF('Step 2- Activity Inventory'!E408="","",'Step 2- Activity Inventory'!E408)</f>
        <v/>
      </c>
      <c r="E405" s="88" t="str">
        <f>IF('Step 2- Activity Inventory'!F408="","",'Step 2- Activity Inventory'!F408)</f>
        <v/>
      </c>
      <c r="F405" s="88" t="str">
        <f>IF(E405="Genius","N/A",IF('Step 2- Activity Inventory'!G408="","",'Step 2- Activity Inventory'!G408))</f>
        <v/>
      </c>
      <c r="G405" s="89" t="str">
        <f>IF('Step 2- Activity Inventory'!D408="","",'Step 2- Activity Inventory'!D408)</f>
        <v/>
      </c>
      <c r="H405" s="90"/>
      <c r="I405" s="24"/>
      <c r="J405" s="24"/>
      <c r="K405" s="91"/>
      <c r="L405" s="92" t="str">
        <f>IF(OR('Step 2- Activity Inventory'!O408=6,AND('Step 2- Activity Inventory'!O408=5,E405="Genius")),'Step 1- Hrly Rate Calc'!$D$18,"")</f>
        <v/>
      </c>
      <c r="M405" s="93" t="str">
        <f t="shared" si="18"/>
        <v/>
      </c>
      <c r="N405" s="93" t="str">
        <f>IF(L405="","",IF(IFERROR((G405/60)*M405*2*'Step 1- Hrly Rate Calc'!$D$14,"")&lt;0,"N/A",IFERROR((G405/60)*M405*2*'Step 1- Hrly Rate Calc'!$D$14,"")))</f>
        <v/>
      </c>
      <c r="O405" s="77" t="str">
        <f t="shared" si="19"/>
        <v/>
      </c>
      <c r="P405" s="77" t="str">
        <f t="shared" si="20"/>
        <v/>
      </c>
    </row>
    <row r="406" spans="2:16" s="61" customFormat="1" ht="34" customHeight="1" x14ac:dyDescent="0.2">
      <c r="B406" s="77" t="str">
        <f>IF('Step 2- Activity Inventory'!B409="","",'Step 2- Activity Inventory'!B409)</f>
        <v/>
      </c>
      <c r="C406" s="77" t="str">
        <f>IF('Step 2- Activity Inventory'!C409="","",'Step 2- Activity Inventory'!C409)</f>
        <v/>
      </c>
      <c r="D406" s="88" t="str">
        <f>IF('Step 2- Activity Inventory'!E409="","",'Step 2- Activity Inventory'!E409)</f>
        <v/>
      </c>
      <c r="E406" s="88" t="str">
        <f>IF('Step 2- Activity Inventory'!F409="","",'Step 2- Activity Inventory'!F409)</f>
        <v/>
      </c>
      <c r="F406" s="88" t="str">
        <f>IF(E406="Genius","N/A",IF('Step 2- Activity Inventory'!G409="","",'Step 2- Activity Inventory'!G409))</f>
        <v/>
      </c>
      <c r="G406" s="89" t="str">
        <f>IF('Step 2- Activity Inventory'!D409="","",'Step 2- Activity Inventory'!D409)</f>
        <v/>
      </c>
      <c r="H406" s="90"/>
      <c r="I406" s="24"/>
      <c r="J406" s="24"/>
      <c r="K406" s="91"/>
      <c r="L406" s="92" t="str">
        <f>IF(OR('Step 2- Activity Inventory'!O409=6,AND('Step 2- Activity Inventory'!O409=5,E406="Genius")),'Step 1- Hrly Rate Calc'!$D$18,"")</f>
        <v/>
      </c>
      <c r="M406" s="93" t="str">
        <f t="shared" si="18"/>
        <v/>
      </c>
      <c r="N406" s="93" t="str">
        <f>IF(L406="","",IF(IFERROR((G406/60)*M406*2*'Step 1- Hrly Rate Calc'!$D$14,"")&lt;0,"N/A",IFERROR((G406/60)*M406*2*'Step 1- Hrly Rate Calc'!$D$14,"")))</f>
        <v/>
      </c>
      <c r="O406" s="77" t="str">
        <f t="shared" si="19"/>
        <v/>
      </c>
      <c r="P406" s="77" t="str">
        <f t="shared" si="20"/>
        <v/>
      </c>
    </row>
    <row r="407" spans="2:16" s="61" customFormat="1" ht="34" customHeight="1" x14ac:dyDescent="0.2">
      <c r="B407" s="77" t="str">
        <f>IF('Step 2- Activity Inventory'!B410="","",'Step 2- Activity Inventory'!B410)</f>
        <v/>
      </c>
      <c r="C407" s="77" t="str">
        <f>IF('Step 2- Activity Inventory'!C410="","",'Step 2- Activity Inventory'!C410)</f>
        <v/>
      </c>
      <c r="D407" s="88" t="str">
        <f>IF('Step 2- Activity Inventory'!E410="","",'Step 2- Activity Inventory'!E410)</f>
        <v/>
      </c>
      <c r="E407" s="88" t="str">
        <f>IF('Step 2- Activity Inventory'!F410="","",'Step 2- Activity Inventory'!F410)</f>
        <v/>
      </c>
      <c r="F407" s="88" t="str">
        <f>IF(E407="Genius","N/A",IF('Step 2- Activity Inventory'!G410="","",'Step 2- Activity Inventory'!G410))</f>
        <v/>
      </c>
      <c r="G407" s="89" t="str">
        <f>IF('Step 2- Activity Inventory'!D410="","",'Step 2- Activity Inventory'!D410)</f>
        <v/>
      </c>
      <c r="H407" s="90"/>
      <c r="I407" s="24"/>
      <c r="J407" s="24"/>
      <c r="K407" s="91"/>
      <c r="L407" s="92" t="str">
        <f>IF(OR('Step 2- Activity Inventory'!O410=6,AND('Step 2- Activity Inventory'!O410=5,E407="Genius")),'Step 1- Hrly Rate Calc'!$D$18,"")</f>
        <v/>
      </c>
      <c r="M407" s="93" t="str">
        <f t="shared" si="18"/>
        <v/>
      </c>
      <c r="N407" s="93" t="str">
        <f>IF(L407="","",IF(IFERROR((G407/60)*M407*2*'Step 1- Hrly Rate Calc'!$D$14,"")&lt;0,"N/A",IFERROR((G407/60)*M407*2*'Step 1- Hrly Rate Calc'!$D$14,"")))</f>
        <v/>
      </c>
      <c r="O407" s="77" t="str">
        <f t="shared" si="19"/>
        <v/>
      </c>
      <c r="P407" s="77" t="str">
        <f t="shared" si="20"/>
        <v/>
      </c>
    </row>
    <row r="408" spans="2:16" s="61" customFormat="1" ht="34" customHeight="1" x14ac:dyDescent="0.2">
      <c r="B408" s="77" t="str">
        <f>IF('Step 2- Activity Inventory'!B411="","",'Step 2- Activity Inventory'!B411)</f>
        <v/>
      </c>
      <c r="C408" s="77" t="str">
        <f>IF('Step 2- Activity Inventory'!C411="","",'Step 2- Activity Inventory'!C411)</f>
        <v/>
      </c>
      <c r="D408" s="88" t="str">
        <f>IF('Step 2- Activity Inventory'!E411="","",'Step 2- Activity Inventory'!E411)</f>
        <v/>
      </c>
      <c r="E408" s="88" t="str">
        <f>IF('Step 2- Activity Inventory'!F411="","",'Step 2- Activity Inventory'!F411)</f>
        <v/>
      </c>
      <c r="F408" s="88" t="str">
        <f>IF(E408="Genius","N/A",IF('Step 2- Activity Inventory'!G411="","",'Step 2- Activity Inventory'!G411))</f>
        <v/>
      </c>
      <c r="G408" s="89" t="str">
        <f>IF('Step 2- Activity Inventory'!D411="","",'Step 2- Activity Inventory'!D411)</f>
        <v/>
      </c>
      <c r="H408" s="90"/>
      <c r="I408" s="24"/>
      <c r="J408" s="24"/>
      <c r="K408" s="91"/>
      <c r="L408" s="92" t="str">
        <f>IF(OR('Step 2- Activity Inventory'!O411=6,AND('Step 2- Activity Inventory'!O411=5,E408="Genius")),'Step 1- Hrly Rate Calc'!$D$18,"")</f>
        <v/>
      </c>
      <c r="M408" s="93" t="str">
        <f t="shared" si="18"/>
        <v/>
      </c>
      <c r="N408" s="93" t="str">
        <f>IF(L408="","",IF(IFERROR((G408/60)*M408*2*'Step 1- Hrly Rate Calc'!$D$14,"")&lt;0,"N/A",IFERROR((G408/60)*M408*2*'Step 1- Hrly Rate Calc'!$D$14,"")))</f>
        <v/>
      </c>
      <c r="O408" s="77" t="str">
        <f t="shared" si="19"/>
        <v/>
      </c>
      <c r="P408" s="77" t="str">
        <f t="shared" si="20"/>
        <v/>
      </c>
    </row>
    <row r="409" spans="2:16" s="61" customFormat="1" ht="34" customHeight="1" x14ac:dyDescent="0.2">
      <c r="B409" s="77" t="str">
        <f>IF('Step 2- Activity Inventory'!B412="","",'Step 2- Activity Inventory'!B412)</f>
        <v/>
      </c>
      <c r="C409" s="77" t="str">
        <f>IF('Step 2- Activity Inventory'!C412="","",'Step 2- Activity Inventory'!C412)</f>
        <v/>
      </c>
      <c r="D409" s="88" t="str">
        <f>IF('Step 2- Activity Inventory'!E412="","",'Step 2- Activity Inventory'!E412)</f>
        <v/>
      </c>
      <c r="E409" s="88" t="str">
        <f>IF('Step 2- Activity Inventory'!F412="","",'Step 2- Activity Inventory'!F412)</f>
        <v/>
      </c>
      <c r="F409" s="88" t="str">
        <f>IF(E409="Genius","N/A",IF('Step 2- Activity Inventory'!G412="","",'Step 2- Activity Inventory'!G412))</f>
        <v/>
      </c>
      <c r="G409" s="89" t="str">
        <f>IF('Step 2- Activity Inventory'!D412="","",'Step 2- Activity Inventory'!D412)</f>
        <v/>
      </c>
      <c r="H409" s="90"/>
      <c r="I409" s="24"/>
      <c r="J409" s="24"/>
      <c r="K409" s="91"/>
      <c r="L409" s="92" t="str">
        <f>IF(OR('Step 2- Activity Inventory'!O412=6,AND('Step 2- Activity Inventory'!O412=5,E409="Genius")),'Step 1- Hrly Rate Calc'!$D$18,"")</f>
        <v/>
      </c>
      <c r="M409" s="93" t="str">
        <f t="shared" si="18"/>
        <v/>
      </c>
      <c r="N409" s="93" t="str">
        <f>IF(L409="","",IF(IFERROR((G409/60)*M409*2*'Step 1- Hrly Rate Calc'!$D$14,"")&lt;0,"N/A",IFERROR((G409/60)*M409*2*'Step 1- Hrly Rate Calc'!$D$14,"")))</f>
        <v/>
      </c>
      <c r="O409" s="77" t="str">
        <f t="shared" si="19"/>
        <v/>
      </c>
      <c r="P409" s="77" t="str">
        <f t="shared" si="20"/>
        <v/>
      </c>
    </row>
    <row r="410" spans="2:16" s="61" customFormat="1" ht="34" customHeight="1" x14ac:dyDescent="0.2">
      <c r="B410" s="77" t="str">
        <f>IF('Step 2- Activity Inventory'!B413="","",'Step 2- Activity Inventory'!B413)</f>
        <v/>
      </c>
      <c r="C410" s="77" t="str">
        <f>IF('Step 2- Activity Inventory'!C413="","",'Step 2- Activity Inventory'!C413)</f>
        <v/>
      </c>
      <c r="D410" s="88" t="str">
        <f>IF('Step 2- Activity Inventory'!E413="","",'Step 2- Activity Inventory'!E413)</f>
        <v/>
      </c>
      <c r="E410" s="88" t="str">
        <f>IF('Step 2- Activity Inventory'!F413="","",'Step 2- Activity Inventory'!F413)</f>
        <v/>
      </c>
      <c r="F410" s="88" t="str">
        <f>IF(E410="Genius","N/A",IF('Step 2- Activity Inventory'!G413="","",'Step 2- Activity Inventory'!G413))</f>
        <v/>
      </c>
      <c r="G410" s="89" t="str">
        <f>IF('Step 2- Activity Inventory'!D413="","",'Step 2- Activity Inventory'!D413)</f>
        <v/>
      </c>
      <c r="H410" s="90"/>
      <c r="I410" s="24"/>
      <c r="J410" s="24"/>
      <c r="K410" s="91"/>
      <c r="L410" s="92" t="str">
        <f>IF(OR('Step 2- Activity Inventory'!O413=6,AND('Step 2- Activity Inventory'!O413=5,E410="Genius")),'Step 1- Hrly Rate Calc'!$D$18,"")</f>
        <v/>
      </c>
      <c r="M410" s="93" t="str">
        <f t="shared" si="18"/>
        <v/>
      </c>
      <c r="N410" s="93" t="str">
        <f>IF(L410="","",IF(IFERROR((G410/60)*M410*2*'Step 1- Hrly Rate Calc'!$D$14,"")&lt;0,"N/A",IFERROR((G410/60)*M410*2*'Step 1- Hrly Rate Calc'!$D$14,"")))</f>
        <v/>
      </c>
      <c r="O410" s="77" t="str">
        <f t="shared" si="19"/>
        <v/>
      </c>
      <c r="P410" s="77" t="str">
        <f t="shared" si="20"/>
        <v/>
      </c>
    </row>
    <row r="411" spans="2:16" s="61" customFormat="1" ht="34" customHeight="1" x14ac:dyDescent="0.2">
      <c r="B411" s="77" t="str">
        <f>IF('Step 2- Activity Inventory'!B414="","",'Step 2- Activity Inventory'!B414)</f>
        <v/>
      </c>
      <c r="C411" s="77" t="str">
        <f>IF('Step 2- Activity Inventory'!C414="","",'Step 2- Activity Inventory'!C414)</f>
        <v/>
      </c>
      <c r="D411" s="88" t="str">
        <f>IF('Step 2- Activity Inventory'!E414="","",'Step 2- Activity Inventory'!E414)</f>
        <v/>
      </c>
      <c r="E411" s="88" t="str">
        <f>IF('Step 2- Activity Inventory'!F414="","",'Step 2- Activity Inventory'!F414)</f>
        <v/>
      </c>
      <c r="F411" s="88" t="str">
        <f>IF(E411="Genius","N/A",IF('Step 2- Activity Inventory'!G414="","",'Step 2- Activity Inventory'!G414))</f>
        <v/>
      </c>
      <c r="G411" s="89" t="str">
        <f>IF('Step 2- Activity Inventory'!D414="","",'Step 2- Activity Inventory'!D414)</f>
        <v/>
      </c>
      <c r="H411" s="90"/>
      <c r="I411" s="24"/>
      <c r="J411" s="24"/>
      <c r="K411" s="91"/>
      <c r="L411" s="92" t="str">
        <f>IF(OR('Step 2- Activity Inventory'!O414=6,AND('Step 2- Activity Inventory'!O414=5,E411="Genius")),'Step 1- Hrly Rate Calc'!$D$18,"")</f>
        <v/>
      </c>
      <c r="M411" s="93" t="str">
        <f t="shared" si="18"/>
        <v/>
      </c>
      <c r="N411" s="93" t="str">
        <f>IF(L411="","",IF(IFERROR((G411/60)*M411*2*'Step 1- Hrly Rate Calc'!$D$14,"")&lt;0,"N/A",IFERROR((G411/60)*M411*2*'Step 1- Hrly Rate Calc'!$D$14,"")))</f>
        <v/>
      </c>
      <c r="O411" s="77" t="str">
        <f t="shared" si="19"/>
        <v/>
      </c>
      <c r="P411" s="77" t="str">
        <f t="shared" si="20"/>
        <v/>
      </c>
    </row>
    <row r="412" spans="2:16" s="61" customFormat="1" ht="34" customHeight="1" x14ac:dyDescent="0.2">
      <c r="B412" s="77" t="str">
        <f>IF('Step 2- Activity Inventory'!B415="","",'Step 2- Activity Inventory'!B415)</f>
        <v/>
      </c>
      <c r="C412" s="77" t="str">
        <f>IF('Step 2- Activity Inventory'!C415="","",'Step 2- Activity Inventory'!C415)</f>
        <v/>
      </c>
      <c r="D412" s="88" t="str">
        <f>IF('Step 2- Activity Inventory'!E415="","",'Step 2- Activity Inventory'!E415)</f>
        <v/>
      </c>
      <c r="E412" s="88" t="str">
        <f>IF('Step 2- Activity Inventory'!F415="","",'Step 2- Activity Inventory'!F415)</f>
        <v/>
      </c>
      <c r="F412" s="88" t="str">
        <f>IF(E412="Genius","N/A",IF('Step 2- Activity Inventory'!G415="","",'Step 2- Activity Inventory'!G415))</f>
        <v/>
      </c>
      <c r="G412" s="89" t="str">
        <f>IF('Step 2- Activity Inventory'!D415="","",'Step 2- Activity Inventory'!D415)</f>
        <v/>
      </c>
      <c r="H412" s="90"/>
      <c r="I412" s="24"/>
      <c r="J412" s="24"/>
      <c r="K412" s="91"/>
      <c r="L412" s="92" t="str">
        <f>IF(OR('Step 2- Activity Inventory'!O415=6,AND('Step 2- Activity Inventory'!O415=5,E412="Genius")),'Step 1- Hrly Rate Calc'!$D$18,"")</f>
        <v/>
      </c>
      <c r="M412" s="93" t="str">
        <f t="shared" si="18"/>
        <v/>
      </c>
      <c r="N412" s="93" t="str">
        <f>IF(L412="","",IF(IFERROR((G412/60)*M412*2*'Step 1- Hrly Rate Calc'!$D$14,"")&lt;0,"N/A",IFERROR((G412/60)*M412*2*'Step 1- Hrly Rate Calc'!$D$14,"")))</f>
        <v/>
      </c>
      <c r="O412" s="77" t="str">
        <f t="shared" si="19"/>
        <v/>
      </c>
      <c r="P412" s="77" t="str">
        <f t="shared" si="20"/>
        <v/>
      </c>
    </row>
    <row r="413" spans="2:16" s="61" customFormat="1" ht="34" customHeight="1" x14ac:dyDescent="0.2">
      <c r="B413" s="77" t="str">
        <f>IF('Step 2- Activity Inventory'!B416="","",'Step 2- Activity Inventory'!B416)</f>
        <v/>
      </c>
      <c r="C413" s="77" t="str">
        <f>IF('Step 2- Activity Inventory'!C416="","",'Step 2- Activity Inventory'!C416)</f>
        <v/>
      </c>
      <c r="D413" s="88" t="str">
        <f>IF('Step 2- Activity Inventory'!E416="","",'Step 2- Activity Inventory'!E416)</f>
        <v/>
      </c>
      <c r="E413" s="88" t="str">
        <f>IF('Step 2- Activity Inventory'!F416="","",'Step 2- Activity Inventory'!F416)</f>
        <v/>
      </c>
      <c r="F413" s="88" t="str">
        <f>IF(E413="Genius","N/A",IF('Step 2- Activity Inventory'!G416="","",'Step 2- Activity Inventory'!G416))</f>
        <v/>
      </c>
      <c r="G413" s="89" t="str">
        <f>IF('Step 2- Activity Inventory'!D416="","",'Step 2- Activity Inventory'!D416)</f>
        <v/>
      </c>
      <c r="H413" s="90"/>
      <c r="I413" s="24"/>
      <c r="J413" s="24"/>
      <c r="K413" s="91"/>
      <c r="L413" s="92" t="str">
        <f>IF(OR('Step 2- Activity Inventory'!O416=6,AND('Step 2- Activity Inventory'!O416=5,E413="Genius")),'Step 1- Hrly Rate Calc'!$D$18,"")</f>
        <v/>
      </c>
      <c r="M413" s="93" t="str">
        <f t="shared" si="18"/>
        <v/>
      </c>
      <c r="N413" s="93" t="str">
        <f>IF(L413="","",IF(IFERROR((G413/60)*M413*2*'Step 1- Hrly Rate Calc'!$D$14,"")&lt;0,"N/A",IFERROR((G413/60)*M413*2*'Step 1- Hrly Rate Calc'!$D$14,"")))</f>
        <v/>
      </c>
      <c r="O413" s="77" t="str">
        <f t="shared" si="19"/>
        <v/>
      </c>
      <c r="P413" s="77" t="str">
        <f t="shared" si="20"/>
        <v/>
      </c>
    </row>
    <row r="414" spans="2:16" s="61" customFormat="1" ht="34" customHeight="1" x14ac:dyDescent="0.2">
      <c r="B414" s="77" t="str">
        <f>IF('Step 2- Activity Inventory'!B417="","",'Step 2- Activity Inventory'!B417)</f>
        <v/>
      </c>
      <c r="C414" s="77" t="str">
        <f>IF('Step 2- Activity Inventory'!C417="","",'Step 2- Activity Inventory'!C417)</f>
        <v/>
      </c>
      <c r="D414" s="88" t="str">
        <f>IF('Step 2- Activity Inventory'!E417="","",'Step 2- Activity Inventory'!E417)</f>
        <v/>
      </c>
      <c r="E414" s="88" t="str">
        <f>IF('Step 2- Activity Inventory'!F417="","",'Step 2- Activity Inventory'!F417)</f>
        <v/>
      </c>
      <c r="F414" s="88" t="str">
        <f>IF(E414="Genius","N/A",IF('Step 2- Activity Inventory'!G417="","",'Step 2- Activity Inventory'!G417))</f>
        <v/>
      </c>
      <c r="G414" s="89" t="str">
        <f>IF('Step 2- Activity Inventory'!D417="","",'Step 2- Activity Inventory'!D417)</f>
        <v/>
      </c>
      <c r="H414" s="90"/>
      <c r="I414" s="24"/>
      <c r="J414" s="24"/>
      <c r="K414" s="91"/>
      <c r="L414" s="92" t="str">
        <f>IF(OR('Step 2- Activity Inventory'!O417=6,AND('Step 2- Activity Inventory'!O417=5,E414="Genius")),'Step 1- Hrly Rate Calc'!$D$18,"")</f>
        <v/>
      </c>
      <c r="M414" s="93" t="str">
        <f t="shared" si="18"/>
        <v/>
      </c>
      <c r="N414" s="93" t="str">
        <f>IF(L414="","",IF(IFERROR((G414/60)*M414*2*'Step 1- Hrly Rate Calc'!$D$14,"")&lt;0,"N/A",IFERROR((G414/60)*M414*2*'Step 1- Hrly Rate Calc'!$D$14,"")))</f>
        <v/>
      </c>
      <c r="O414" s="77" t="str">
        <f t="shared" si="19"/>
        <v/>
      </c>
      <c r="P414" s="77" t="str">
        <f t="shared" si="20"/>
        <v/>
      </c>
    </row>
    <row r="415" spans="2:16" s="61" customFormat="1" ht="34" customHeight="1" x14ac:dyDescent="0.2">
      <c r="B415" s="77" t="str">
        <f>IF('Step 2- Activity Inventory'!B418="","",'Step 2- Activity Inventory'!B418)</f>
        <v/>
      </c>
      <c r="C415" s="77" t="str">
        <f>IF('Step 2- Activity Inventory'!C418="","",'Step 2- Activity Inventory'!C418)</f>
        <v/>
      </c>
      <c r="D415" s="88" t="str">
        <f>IF('Step 2- Activity Inventory'!E418="","",'Step 2- Activity Inventory'!E418)</f>
        <v/>
      </c>
      <c r="E415" s="88" t="str">
        <f>IF('Step 2- Activity Inventory'!F418="","",'Step 2- Activity Inventory'!F418)</f>
        <v/>
      </c>
      <c r="F415" s="88" t="str">
        <f>IF(E415="Genius","N/A",IF('Step 2- Activity Inventory'!G418="","",'Step 2- Activity Inventory'!G418))</f>
        <v/>
      </c>
      <c r="G415" s="89" t="str">
        <f>IF('Step 2- Activity Inventory'!D418="","",'Step 2- Activity Inventory'!D418)</f>
        <v/>
      </c>
      <c r="H415" s="90"/>
      <c r="I415" s="24"/>
      <c r="J415" s="24"/>
      <c r="K415" s="91"/>
      <c r="L415" s="92" t="str">
        <f>IF(OR('Step 2- Activity Inventory'!O418=6,AND('Step 2- Activity Inventory'!O418=5,E415="Genius")),'Step 1- Hrly Rate Calc'!$D$18,"")</f>
        <v/>
      </c>
      <c r="M415" s="93" t="str">
        <f t="shared" si="18"/>
        <v/>
      </c>
      <c r="N415" s="93" t="str">
        <f>IF(L415="","",IF(IFERROR((G415/60)*M415*2*'Step 1- Hrly Rate Calc'!$D$14,"")&lt;0,"N/A",IFERROR((G415/60)*M415*2*'Step 1- Hrly Rate Calc'!$D$14,"")))</f>
        <v/>
      </c>
      <c r="O415" s="77" t="str">
        <f t="shared" si="19"/>
        <v/>
      </c>
      <c r="P415" s="77" t="str">
        <f t="shared" si="20"/>
        <v/>
      </c>
    </row>
    <row r="416" spans="2:16" s="61" customFormat="1" ht="34" customHeight="1" x14ac:dyDescent="0.2">
      <c r="B416" s="77" t="str">
        <f>IF('Step 2- Activity Inventory'!B419="","",'Step 2- Activity Inventory'!B419)</f>
        <v/>
      </c>
      <c r="C416" s="77" t="str">
        <f>IF('Step 2- Activity Inventory'!C419="","",'Step 2- Activity Inventory'!C419)</f>
        <v/>
      </c>
      <c r="D416" s="88" t="str">
        <f>IF('Step 2- Activity Inventory'!E419="","",'Step 2- Activity Inventory'!E419)</f>
        <v/>
      </c>
      <c r="E416" s="88" t="str">
        <f>IF('Step 2- Activity Inventory'!F419="","",'Step 2- Activity Inventory'!F419)</f>
        <v/>
      </c>
      <c r="F416" s="88" t="str">
        <f>IF(E416="Genius","N/A",IF('Step 2- Activity Inventory'!G419="","",'Step 2- Activity Inventory'!G419))</f>
        <v/>
      </c>
      <c r="G416" s="89" t="str">
        <f>IF('Step 2- Activity Inventory'!D419="","",'Step 2- Activity Inventory'!D419)</f>
        <v/>
      </c>
      <c r="H416" s="90"/>
      <c r="I416" s="24"/>
      <c r="J416" s="24"/>
      <c r="K416" s="91"/>
      <c r="L416" s="92" t="str">
        <f>IF(OR('Step 2- Activity Inventory'!O419=6,AND('Step 2- Activity Inventory'!O419=5,E416="Genius")),'Step 1- Hrly Rate Calc'!$D$18,"")</f>
        <v/>
      </c>
      <c r="M416" s="93" t="str">
        <f t="shared" si="18"/>
        <v/>
      </c>
      <c r="N416" s="93" t="str">
        <f>IF(L416="","",IF(IFERROR((G416/60)*M416*2*'Step 1- Hrly Rate Calc'!$D$14,"")&lt;0,"N/A",IFERROR((G416/60)*M416*2*'Step 1- Hrly Rate Calc'!$D$14,"")))</f>
        <v/>
      </c>
      <c r="O416" s="77" t="str">
        <f t="shared" si="19"/>
        <v/>
      </c>
      <c r="P416" s="77" t="str">
        <f t="shared" si="20"/>
        <v/>
      </c>
    </row>
    <row r="417" spans="2:16" s="61" customFormat="1" ht="34" customHeight="1" x14ac:dyDescent="0.2">
      <c r="B417" s="77" t="str">
        <f>IF('Step 2- Activity Inventory'!B420="","",'Step 2- Activity Inventory'!B420)</f>
        <v/>
      </c>
      <c r="C417" s="77" t="str">
        <f>IF('Step 2- Activity Inventory'!C420="","",'Step 2- Activity Inventory'!C420)</f>
        <v/>
      </c>
      <c r="D417" s="88" t="str">
        <f>IF('Step 2- Activity Inventory'!E420="","",'Step 2- Activity Inventory'!E420)</f>
        <v/>
      </c>
      <c r="E417" s="88" t="str">
        <f>IF('Step 2- Activity Inventory'!F420="","",'Step 2- Activity Inventory'!F420)</f>
        <v/>
      </c>
      <c r="F417" s="88" t="str">
        <f>IF(E417="Genius","N/A",IF('Step 2- Activity Inventory'!G420="","",'Step 2- Activity Inventory'!G420))</f>
        <v/>
      </c>
      <c r="G417" s="89" t="str">
        <f>IF('Step 2- Activity Inventory'!D420="","",'Step 2- Activity Inventory'!D420)</f>
        <v/>
      </c>
      <c r="H417" s="90"/>
      <c r="I417" s="24"/>
      <c r="J417" s="24"/>
      <c r="K417" s="91"/>
      <c r="L417" s="92" t="str">
        <f>IF(OR('Step 2- Activity Inventory'!O420=6,AND('Step 2- Activity Inventory'!O420=5,E417="Genius")),'Step 1- Hrly Rate Calc'!$D$18,"")</f>
        <v/>
      </c>
      <c r="M417" s="93" t="str">
        <f t="shared" si="18"/>
        <v/>
      </c>
      <c r="N417" s="93" t="str">
        <f>IF(L417="","",IF(IFERROR((G417/60)*M417*2*'Step 1- Hrly Rate Calc'!$D$14,"")&lt;0,"N/A",IFERROR((G417/60)*M417*2*'Step 1- Hrly Rate Calc'!$D$14,"")))</f>
        <v/>
      </c>
      <c r="O417" s="77" t="str">
        <f t="shared" si="19"/>
        <v/>
      </c>
      <c r="P417" s="77" t="str">
        <f t="shared" si="20"/>
        <v/>
      </c>
    </row>
    <row r="418" spans="2:16" s="61" customFormat="1" ht="34" customHeight="1" x14ac:dyDescent="0.2">
      <c r="B418" s="77" t="str">
        <f>IF('Step 2- Activity Inventory'!B421="","",'Step 2- Activity Inventory'!B421)</f>
        <v/>
      </c>
      <c r="C418" s="77" t="str">
        <f>IF('Step 2- Activity Inventory'!C421="","",'Step 2- Activity Inventory'!C421)</f>
        <v/>
      </c>
      <c r="D418" s="88" t="str">
        <f>IF('Step 2- Activity Inventory'!E421="","",'Step 2- Activity Inventory'!E421)</f>
        <v/>
      </c>
      <c r="E418" s="88" t="str">
        <f>IF('Step 2- Activity Inventory'!F421="","",'Step 2- Activity Inventory'!F421)</f>
        <v/>
      </c>
      <c r="F418" s="88" t="str">
        <f>IF(E418="Genius","N/A",IF('Step 2- Activity Inventory'!G421="","",'Step 2- Activity Inventory'!G421))</f>
        <v/>
      </c>
      <c r="G418" s="89" t="str">
        <f>IF('Step 2- Activity Inventory'!D421="","",'Step 2- Activity Inventory'!D421)</f>
        <v/>
      </c>
      <c r="H418" s="90"/>
      <c r="I418" s="24"/>
      <c r="J418" s="24"/>
      <c r="K418" s="91"/>
      <c r="L418" s="92" t="str">
        <f>IF(OR('Step 2- Activity Inventory'!O421=6,AND('Step 2- Activity Inventory'!O421=5,E418="Genius")),'Step 1- Hrly Rate Calc'!$D$18,"")</f>
        <v/>
      </c>
      <c r="M418" s="93" t="str">
        <f t="shared" si="18"/>
        <v/>
      </c>
      <c r="N418" s="93" t="str">
        <f>IF(L418="","",IF(IFERROR((G418/60)*M418*2*'Step 1- Hrly Rate Calc'!$D$14,"")&lt;0,"N/A",IFERROR((G418/60)*M418*2*'Step 1- Hrly Rate Calc'!$D$14,"")))</f>
        <v/>
      </c>
      <c r="O418" s="77" t="str">
        <f t="shared" si="19"/>
        <v/>
      </c>
      <c r="P418" s="77" t="str">
        <f t="shared" si="20"/>
        <v/>
      </c>
    </row>
    <row r="419" spans="2:16" s="61" customFormat="1" ht="34" customHeight="1" x14ac:dyDescent="0.2">
      <c r="B419" s="77" t="str">
        <f>IF('Step 2- Activity Inventory'!B422="","",'Step 2- Activity Inventory'!B422)</f>
        <v/>
      </c>
      <c r="C419" s="77" t="str">
        <f>IF('Step 2- Activity Inventory'!C422="","",'Step 2- Activity Inventory'!C422)</f>
        <v/>
      </c>
      <c r="D419" s="88" t="str">
        <f>IF('Step 2- Activity Inventory'!E422="","",'Step 2- Activity Inventory'!E422)</f>
        <v/>
      </c>
      <c r="E419" s="88" t="str">
        <f>IF('Step 2- Activity Inventory'!F422="","",'Step 2- Activity Inventory'!F422)</f>
        <v/>
      </c>
      <c r="F419" s="88" t="str">
        <f>IF(E419="Genius","N/A",IF('Step 2- Activity Inventory'!G422="","",'Step 2- Activity Inventory'!G422))</f>
        <v/>
      </c>
      <c r="G419" s="89" t="str">
        <f>IF('Step 2- Activity Inventory'!D422="","",'Step 2- Activity Inventory'!D422)</f>
        <v/>
      </c>
      <c r="H419" s="90"/>
      <c r="I419" s="24"/>
      <c r="J419" s="24"/>
      <c r="K419" s="91"/>
      <c r="L419" s="92" t="str">
        <f>IF(OR('Step 2- Activity Inventory'!O422=6,AND('Step 2- Activity Inventory'!O422=5,E419="Genius")),'Step 1- Hrly Rate Calc'!$D$18,"")</f>
        <v/>
      </c>
      <c r="M419" s="93" t="str">
        <f t="shared" si="18"/>
        <v/>
      </c>
      <c r="N419" s="93" t="str">
        <f>IF(L419="","",IF(IFERROR((G419/60)*M419*2*'Step 1- Hrly Rate Calc'!$D$14,"")&lt;0,"N/A",IFERROR((G419/60)*M419*2*'Step 1- Hrly Rate Calc'!$D$14,"")))</f>
        <v/>
      </c>
      <c r="O419" s="77" t="str">
        <f t="shared" si="19"/>
        <v/>
      </c>
      <c r="P419" s="77" t="str">
        <f t="shared" si="20"/>
        <v/>
      </c>
    </row>
    <row r="420" spans="2:16" s="61" customFormat="1" ht="34" customHeight="1" x14ac:dyDescent="0.2">
      <c r="B420" s="77" t="str">
        <f>IF('Step 2- Activity Inventory'!B423="","",'Step 2- Activity Inventory'!B423)</f>
        <v/>
      </c>
      <c r="C420" s="77" t="str">
        <f>IF('Step 2- Activity Inventory'!C423="","",'Step 2- Activity Inventory'!C423)</f>
        <v/>
      </c>
      <c r="D420" s="88" t="str">
        <f>IF('Step 2- Activity Inventory'!E423="","",'Step 2- Activity Inventory'!E423)</f>
        <v/>
      </c>
      <c r="E420" s="88" t="str">
        <f>IF('Step 2- Activity Inventory'!F423="","",'Step 2- Activity Inventory'!F423)</f>
        <v/>
      </c>
      <c r="F420" s="88" t="str">
        <f>IF(E420="Genius","N/A",IF('Step 2- Activity Inventory'!G423="","",'Step 2- Activity Inventory'!G423))</f>
        <v/>
      </c>
      <c r="G420" s="89" t="str">
        <f>IF('Step 2- Activity Inventory'!D423="","",'Step 2- Activity Inventory'!D423)</f>
        <v/>
      </c>
      <c r="H420" s="90"/>
      <c r="I420" s="24"/>
      <c r="J420" s="24"/>
      <c r="K420" s="91"/>
      <c r="L420" s="92" t="str">
        <f>IF(OR('Step 2- Activity Inventory'!O423=6,AND('Step 2- Activity Inventory'!O423=5,E420="Genius")),'Step 1- Hrly Rate Calc'!$D$18,"")</f>
        <v/>
      </c>
      <c r="M420" s="93" t="str">
        <f t="shared" si="18"/>
        <v/>
      </c>
      <c r="N420" s="93" t="str">
        <f>IF(L420="","",IF(IFERROR((G420/60)*M420*2*'Step 1- Hrly Rate Calc'!$D$14,"")&lt;0,"N/A",IFERROR((G420/60)*M420*2*'Step 1- Hrly Rate Calc'!$D$14,"")))</f>
        <v/>
      </c>
      <c r="O420" s="77" t="str">
        <f t="shared" si="19"/>
        <v/>
      </c>
      <c r="P420" s="77" t="str">
        <f t="shared" si="20"/>
        <v/>
      </c>
    </row>
    <row r="421" spans="2:16" s="61" customFormat="1" ht="34" customHeight="1" x14ac:dyDescent="0.2">
      <c r="B421" s="77" t="str">
        <f>IF('Step 2- Activity Inventory'!B424="","",'Step 2- Activity Inventory'!B424)</f>
        <v/>
      </c>
      <c r="C421" s="77" t="str">
        <f>IF('Step 2- Activity Inventory'!C424="","",'Step 2- Activity Inventory'!C424)</f>
        <v/>
      </c>
      <c r="D421" s="88" t="str">
        <f>IF('Step 2- Activity Inventory'!E424="","",'Step 2- Activity Inventory'!E424)</f>
        <v/>
      </c>
      <c r="E421" s="88" t="str">
        <f>IF('Step 2- Activity Inventory'!F424="","",'Step 2- Activity Inventory'!F424)</f>
        <v/>
      </c>
      <c r="F421" s="88" t="str">
        <f>IF(E421="Genius","N/A",IF('Step 2- Activity Inventory'!G424="","",'Step 2- Activity Inventory'!G424))</f>
        <v/>
      </c>
      <c r="G421" s="89" t="str">
        <f>IF('Step 2- Activity Inventory'!D424="","",'Step 2- Activity Inventory'!D424)</f>
        <v/>
      </c>
      <c r="H421" s="90"/>
      <c r="I421" s="24"/>
      <c r="J421" s="24"/>
      <c r="K421" s="91"/>
      <c r="L421" s="92" t="str">
        <f>IF(OR('Step 2- Activity Inventory'!O424=6,AND('Step 2- Activity Inventory'!O424=5,E421="Genius")),'Step 1- Hrly Rate Calc'!$D$18,"")</f>
        <v/>
      </c>
      <c r="M421" s="93" t="str">
        <f t="shared" si="18"/>
        <v/>
      </c>
      <c r="N421" s="93" t="str">
        <f>IF(L421="","",IF(IFERROR((G421/60)*M421*2*'Step 1- Hrly Rate Calc'!$D$14,"")&lt;0,"N/A",IFERROR((G421/60)*M421*2*'Step 1- Hrly Rate Calc'!$D$14,"")))</f>
        <v/>
      </c>
      <c r="O421" s="77" t="str">
        <f t="shared" si="19"/>
        <v/>
      </c>
      <c r="P421" s="77" t="str">
        <f t="shared" si="20"/>
        <v/>
      </c>
    </row>
    <row r="422" spans="2:16" s="61" customFormat="1" ht="34" customHeight="1" x14ac:dyDescent="0.2">
      <c r="B422" s="77" t="str">
        <f>IF('Step 2- Activity Inventory'!B425="","",'Step 2- Activity Inventory'!B425)</f>
        <v/>
      </c>
      <c r="C422" s="77" t="str">
        <f>IF('Step 2- Activity Inventory'!C425="","",'Step 2- Activity Inventory'!C425)</f>
        <v/>
      </c>
      <c r="D422" s="88" t="str">
        <f>IF('Step 2- Activity Inventory'!E425="","",'Step 2- Activity Inventory'!E425)</f>
        <v/>
      </c>
      <c r="E422" s="88" t="str">
        <f>IF('Step 2- Activity Inventory'!F425="","",'Step 2- Activity Inventory'!F425)</f>
        <v/>
      </c>
      <c r="F422" s="88" t="str">
        <f>IF(E422="Genius","N/A",IF('Step 2- Activity Inventory'!G425="","",'Step 2- Activity Inventory'!G425))</f>
        <v/>
      </c>
      <c r="G422" s="89" t="str">
        <f>IF('Step 2- Activity Inventory'!D425="","",'Step 2- Activity Inventory'!D425)</f>
        <v/>
      </c>
      <c r="H422" s="90"/>
      <c r="I422" s="24"/>
      <c r="J422" s="24"/>
      <c r="K422" s="91"/>
      <c r="L422" s="92" t="str">
        <f>IF(OR('Step 2- Activity Inventory'!O425=6,AND('Step 2- Activity Inventory'!O425=5,E422="Genius")),'Step 1- Hrly Rate Calc'!$D$18,"")</f>
        <v/>
      </c>
      <c r="M422" s="93" t="str">
        <f t="shared" si="18"/>
        <v/>
      </c>
      <c r="N422" s="93" t="str">
        <f>IF(L422="","",IF(IFERROR((G422/60)*M422*2*'Step 1- Hrly Rate Calc'!$D$14,"")&lt;0,"N/A",IFERROR((G422/60)*M422*2*'Step 1- Hrly Rate Calc'!$D$14,"")))</f>
        <v/>
      </c>
      <c r="O422" s="77" t="str">
        <f t="shared" si="19"/>
        <v/>
      </c>
      <c r="P422" s="77" t="str">
        <f t="shared" si="20"/>
        <v/>
      </c>
    </row>
    <row r="423" spans="2:16" s="61" customFormat="1" ht="34" customHeight="1" x14ac:dyDescent="0.2">
      <c r="B423" s="77" t="str">
        <f>IF('Step 2- Activity Inventory'!B426="","",'Step 2- Activity Inventory'!B426)</f>
        <v/>
      </c>
      <c r="C423" s="77" t="str">
        <f>IF('Step 2- Activity Inventory'!C426="","",'Step 2- Activity Inventory'!C426)</f>
        <v/>
      </c>
      <c r="D423" s="88" t="str">
        <f>IF('Step 2- Activity Inventory'!E426="","",'Step 2- Activity Inventory'!E426)</f>
        <v/>
      </c>
      <c r="E423" s="88" t="str">
        <f>IF('Step 2- Activity Inventory'!F426="","",'Step 2- Activity Inventory'!F426)</f>
        <v/>
      </c>
      <c r="F423" s="88" t="str">
        <f>IF(E423="Genius","N/A",IF('Step 2- Activity Inventory'!G426="","",'Step 2- Activity Inventory'!G426))</f>
        <v/>
      </c>
      <c r="G423" s="89" t="str">
        <f>IF('Step 2- Activity Inventory'!D426="","",'Step 2- Activity Inventory'!D426)</f>
        <v/>
      </c>
      <c r="H423" s="90"/>
      <c r="I423" s="24"/>
      <c r="J423" s="24"/>
      <c r="K423" s="91"/>
      <c r="L423" s="92" t="str">
        <f>IF(OR('Step 2- Activity Inventory'!O426=6,AND('Step 2- Activity Inventory'!O426=5,E423="Genius")),'Step 1- Hrly Rate Calc'!$D$18,"")</f>
        <v/>
      </c>
      <c r="M423" s="93" t="str">
        <f t="shared" si="18"/>
        <v/>
      </c>
      <c r="N423" s="93" t="str">
        <f>IF(L423="","",IF(IFERROR((G423/60)*M423*2*'Step 1- Hrly Rate Calc'!$D$14,"")&lt;0,"N/A",IFERROR((G423/60)*M423*2*'Step 1- Hrly Rate Calc'!$D$14,"")))</f>
        <v/>
      </c>
      <c r="O423" s="77" t="str">
        <f t="shared" si="19"/>
        <v/>
      </c>
      <c r="P423" s="77" t="str">
        <f t="shared" si="20"/>
        <v/>
      </c>
    </row>
    <row r="424" spans="2:16" s="61" customFormat="1" ht="34" customHeight="1" x14ac:dyDescent="0.2">
      <c r="B424" s="77" t="str">
        <f>IF('Step 2- Activity Inventory'!B427="","",'Step 2- Activity Inventory'!B427)</f>
        <v/>
      </c>
      <c r="C424" s="77" t="str">
        <f>IF('Step 2- Activity Inventory'!C427="","",'Step 2- Activity Inventory'!C427)</f>
        <v/>
      </c>
      <c r="D424" s="88" t="str">
        <f>IF('Step 2- Activity Inventory'!E427="","",'Step 2- Activity Inventory'!E427)</f>
        <v/>
      </c>
      <c r="E424" s="88" t="str">
        <f>IF('Step 2- Activity Inventory'!F427="","",'Step 2- Activity Inventory'!F427)</f>
        <v/>
      </c>
      <c r="F424" s="88" t="str">
        <f>IF(E424="Genius","N/A",IF('Step 2- Activity Inventory'!G427="","",'Step 2- Activity Inventory'!G427))</f>
        <v/>
      </c>
      <c r="G424" s="89" t="str">
        <f>IF('Step 2- Activity Inventory'!D427="","",'Step 2- Activity Inventory'!D427)</f>
        <v/>
      </c>
      <c r="H424" s="90"/>
      <c r="I424" s="24"/>
      <c r="J424" s="24"/>
      <c r="K424" s="91"/>
      <c r="L424" s="92" t="str">
        <f>IF(OR('Step 2- Activity Inventory'!O427=6,AND('Step 2- Activity Inventory'!O427=5,E424="Genius")),'Step 1- Hrly Rate Calc'!$D$18,"")</f>
        <v/>
      </c>
      <c r="M424" s="93" t="str">
        <f t="shared" si="18"/>
        <v/>
      </c>
      <c r="N424" s="93" t="str">
        <f>IF(L424="","",IF(IFERROR((G424/60)*M424*2*'Step 1- Hrly Rate Calc'!$D$14,"")&lt;0,"N/A",IFERROR((G424/60)*M424*2*'Step 1- Hrly Rate Calc'!$D$14,"")))</f>
        <v/>
      </c>
      <c r="O424" s="77" t="str">
        <f t="shared" si="19"/>
        <v/>
      </c>
      <c r="P424" s="77" t="str">
        <f t="shared" si="20"/>
        <v/>
      </c>
    </row>
    <row r="425" spans="2:16" s="61" customFormat="1" ht="34" customHeight="1" x14ac:dyDescent="0.2">
      <c r="B425" s="77" t="str">
        <f>IF('Step 2- Activity Inventory'!B428="","",'Step 2- Activity Inventory'!B428)</f>
        <v/>
      </c>
      <c r="C425" s="77" t="str">
        <f>IF('Step 2- Activity Inventory'!C428="","",'Step 2- Activity Inventory'!C428)</f>
        <v/>
      </c>
      <c r="D425" s="88" t="str">
        <f>IF('Step 2- Activity Inventory'!E428="","",'Step 2- Activity Inventory'!E428)</f>
        <v/>
      </c>
      <c r="E425" s="88" t="str">
        <f>IF('Step 2- Activity Inventory'!F428="","",'Step 2- Activity Inventory'!F428)</f>
        <v/>
      </c>
      <c r="F425" s="88" t="str">
        <f>IF(E425="Genius","N/A",IF('Step 2- Activity Inventory'!G428="","",'Step 2- Activity Inventory'!G428))</f>
        <v/>
      </c>
      <c r="G425" s="89" t="str">
        <f>IF('Step 2- Activity Inventory'!D428="","",'Step 2- Activity Inventory'!D428)</f>
        <v/>
      </c>
      <c r="H425" s="90"/>
      <c r="I425" s="24"/>
      <c r="J425" s="24"/>
      <c r="K425" s="91"/>
      <c r="L425" s="92" t="str">
        <f>IF(OR('Step 2- Activity Inventory'!O428=6,AND('Step 2- Activity Inventory'!O428=5,E425="Genius")),'Step 1- Hrly Rate Calc'!$D$18,"")</f>
        <v/>
      </c>
      <c r="M425" s="93" t="str">
        <f t="shared" si="18"/>
        <v/>
      </c>
      <c r="N425" s="93" t="str">
        <f>IF(L425="","",IF(IFERROR((G425/60)*M425*2*'Step 1- Hrly Rate Calc'!$D$14,"")&lt;0,"N/A",IFERROR((G425/60)*M425*2*'Step 1- Hrly Rate Calc'!$D$14,"")))</f>
        <v/>
      </c>
      <c r="O425" s="77" t="str">
        <f t="shared" si="19"/>
        <v/>
      </c>
      <c r="P425" s="77" t="str">
        <f t="shared" si="20"/>
        <v/>
      </c>
    </row>
    <row r="426" spans="2:16" s="61" customFormat="1" ht="34" customHeight="1" x14ac:dyDescent="0.2">
      <c r="B426" s="77" t="str">
        <f>IF('Step 2- Activity Inventory'!B429="","",'Step 2- Activity Inventory'!B429)</f>
        <v/>
      </c>
      <c r="C426" s="77" t="str">
        <f>IF('Step 2- Activity Inventory'!C429="","",'Step 2- Activity Inventory'!C429)</f>
        <v/>
      </c>
      <c r="D426" s="88" t="str">
        <f>IF('Step 2- Activity Inventory'!E429="","",'Step 2- Activity Inventory'!E429)</f>
        <v/>
      </c>
      <c r="E426" s="88" t="str">
        <f>IF('Step 2- Activity Inventory'!F429="","",'Step 2- Activity Inventory'!F429)</f>
        <v/>
      </c>
      <c r="F426" s="88" t="str">
        <f>IF(E426="Genius","N/A",IF('Step 2- Activity Inventory'!G429="","",'Step 2- Activity Inventory'!G429))</f>
        <v/>
      </c>
      <c r="G426" s="89" t="str">
        <f>IF('Step 2- Activity Inventory'!D429="","",'Step 2- Activity Inventory'!D429)</f>
        <v/>
      </c>
      <c r="H426" s="90"/>
      <c r="I426" s="24"/>
      <c r="J426" s="24"/>
      <c r="K426" s="91"/>
      <c r="L426" s="92" t="str">
        <f>IF(OR('Step 2- Activity Inventory'!O429=6,AND('Step 2- Activity Inventory'!O429=5,E426="Genius")),'Step 1- Hrly Rate Calc'!$D$18,"")</f>
        <v/>
      </c>
      <c r="M426" s="93" t="str">
        <f t="shared" si="18"/>
        <v/>
      </c>
      <c r="N426" s="93" t="str">
        <f>IF(L426="","",IF(IFERROR((G426/60)*M426*2*'Step 1- Hrly Rate Calc'!$D$14,"")&lt;0,"N/A",IFERROR((G426/60)*M426*2*'Step 1- Hrly Rate Calc'!$D$14,"")))</f>
        <v/>
      </c>
      <c r="O426" s="77" t="str">
        <f t="shared" si="19"/>
        <v/>
      </c>
      <c r="P426" s="77" t="str">
        <f t="shared" si="20"/>
        <v/>
      </c>
    </row>
    <row r="427" spans="2:16" s="61" customFormat="1" ht="34" customHeight="1" x14ac:dyDescent="0.2">
      <c r="B427" s="77" t="str">
        <f>IF('Step 2- Activity Inventory'!B430="","",'Step 2- Activity Inventory'!B430)</f>
        <v/>
      </c>
      <c r="C427" s="77" t="str">
        <f>IF('Step 2- Activity Inventory'!C430="","",'Step 2- Activity Inventory'!C430)</f>
        <v/>
      </c>
      <c r="D427" s="88" t="str">
        <f>IF('Step 2- Activity Inventory'!E430="","",'Step 2- Activity Inventory'!E430)</f>
        <v/>
      </c>
      <c r="E427" s="88" t="str">
        <f>IF('Step 2- Activity Inventory'!F430="","",'Step 2- Activity Inventory'!F430)</f>
        <v/>
      </c>
      <c r="F427" s="88" t="str">
        <f>IF(E427="Genius","N/A",IF('Step 2- Activity Inventory'!G430="","",'Step 2- Activity Inventory'!G430))</f>
        <v/>
      </c>
      <c r="G427" s="89" t="str">
        <f>IF('Step 2- Activity Inventory'!D430="","",'Step 2- Activity Inventory'!D430)</f>
        <v/>
      </c>
      <c r="H427" s="90"/>
      <c r="I427" s="24"/>
      <c r="J427" s="24"/>
      <c r="K427" s="91"/>
      <c r="L427" s="92" t="str">
        <f>IF(OR('Step 2- Activity Inventory'!O430=6,AND('Step 2- Activity Inventory'!O430=5,E427="Genius")),'Step 1- Hrly Rate Calc'!$D$18,"")</f>
        <v/>
      </c>
      <c r="M427" s="93" t="str">
        <f t="shared" si="18"/>
        <v/>
      </c>
      <c r="N427" s="93" t="str">
        <f>IF(L427="","",IF(IFERROR((G427/60)*M427*2*'Step 1- Hrly Rate Calc'!$D$14,"")&lt;0,"N/A",IFERROR((G427/60)*M427*2*'Step 1- Hrly Rate Calc'!$D$14,"")))</f>
        <v/>
      </c>
      <c r="O427" s="77" t="str">
        <f t="shared" si="19"/>
        <v/>
      </c>
      <c r="P427" s="77" t="str">
        <f t="shared" si="20"/>
        <v/>
      </c>
    </row>
    <row r="428" spans="2:16" s="61" customFormat="1" ht="34" customHeight="1" x14ac:dyDescent="0.2">
      <c r="B428" s="77" t="str">
        <f>IF('Step 2- Activity Inventory'!B431="","",'Step 2- Activity Inventory'!B431)</f>
        <v/>
      </c>
      <c r="C428" s="77" t="str">
        <f>IF('Step 2- Activity Inventory'!C431="","",'Step 2- Activity Inventory'!C431)</f>
        <v/>
      </c>
      <c r="D428" s="88" t="str">
        <f>IF('Step 2- Activity Inventory'!E431="","",'Step 2- Activity Inventory'!E431)</f>
        <v/>
      </c>
      <c r="E428" s="88" t="str">
        <f>IF('Step 2- Activity Inventory'!F431="","",'Step 2- Activity Inventory'!F431)</f>
        <v/>
      </c>
      <c r="F428" s="88" t="str">
        <f>IF(E428="Genius","N/A",IF('Step 2- Activity Inventory'!G431="","",'Step 2- Activity Inventory'!G431))</f>
        <v/>
      </c>
      <c r="G428" s="89" t="str">
        <f>IF('Step 2- Activity Inventory'!D431="","",'Step 2- Activity Inventory'!D431)</f>
        <v/>
      </c>
      <c r="H428" s="90"/>
      <c r="I428" s="24"/>
      <c r="J428" s="24"/>
      <c r="K428" s="91"/>
      <c r="L428" s="92" t="str">
        <f>IF(OR('Step 2- Activity Inventory'!O431=6,AND('Step 2- Activity Inventory'!O431=5,E428="Genius")),'Step 1- Hrly Rate Calc'!$D$18,"")</f>
        <v/>
      </c>
      <c r="M428" s="93" t="str">
        <f t="shared" si="18"/>
        <v/>
      </c>
      <c r="N428" s="93" t="str">
        <f>IF(L428="","",IF(IFERROR((G428/60)*M428*2*'Step 1- Hrly Rate Calc'!$D$14,"")&lt;0,"N/A",IFERROR((G428/60)*M428*2*'Step 1- Hrly Rate Calc'!$D$14,"")))</f>
        <v/>
      </c>
      <c r="O428" s="77" t="str">
        <f t="shared" si="19"/>
        <v/>
      </c>
      <c r="P428" s="77" t="str">
        <f t="shared" si="20"/>
        <v/>
      </c>
    </row>
    <row r="429" spans="2:16" s="61" customFormat="1" ht="34" customHeight="1" x14ac:dyDescent="0.2">
      <c r="B429" s="77" t="str">
        <f>IF('Step 2- Activity Inventory'!B432="","",'Step 2- Activity Inventory'!B432)</f>
        <v/>
      </c>
      <c r="C429" s="77" t="str">
        <f>IF('Step 2- Activity Inventory'!C432="","",'Step 2- Activity Inventory'!C432)</f>
        <v/>
      </c>
      <c r="D429" s="88" t="str">
        <f>IF('Step 2- Activity Inventory'!E432="","",'Step 2- Activity Inventory'!E432)</f>
        <v/>
      </c>
      <c r="E429" s="88" t="str">
        <f>IF('Step 2- Activity Inventory'!F432="","",'Step 2- Activity Inventory'!F432)</f>
        <v/>
      </c>
      <c r="F429" s="88" t="str">
        <f>IF(E429="Genius","N/A",IF('Step 2- Activity Inventory'!G432="","",'Step 2- Activity Inventory'!G432))</f>
        <v/>
      </c>
      <c r="G429" s="89" t="str">
        <f>IF('Step 2- Activity Inventory'!D432="","",'Step 2- Activity Inventory'!D432)</f>
        <v/>
      </c>
      <c r="H429" s="90"/>
      <c r="I429" s="24"/>
      <c r="J429" s="24"/>
      <c r="K429" s="91"/>
      <c r="L429" s="92" t="str">
        <f>IF(OR('Step 2- Activity Inventory'!O432=6,AND('Step 2- Activity Inventory'!O432=5,E429="Genius")),'Step 1- Hrly Rate Calc'!$D$18,"")</f>
        <v/>
      </c>
      <c r="M429" s="93" t="str">
        <f t="shared" si="18"/>
        <v/>
      </c>
      <c r="N429" s="93" t="str">
        <f>IF(L429="","",IF(IFERROR((G429/60)*M429*2*'Step 1- Hrly Rate Calc'!$D$14,"")&lt;0,"N/A",IFERROR((G429/60)*M429*2*'Step 1- Hrly Rate Calc'!$D$14,"")))</f>
        <v/>
      </c>
      <c r="O429" s="77" t="str">
        <f t="shared" si="19"/>
        <v/>
      </c>
      <c r="P429" s="77" t="str">
        <f t="shared" si="20"/>
        <v/>
      </c>
    </row>
    <row r="430" spans="2:16" s="61" customFormat="1" ht="34" customHeight="1" x14ac:dyDescent="0.2">
      <c r="B430" s="77" t="str">
        <f>IF('Step 2- Activity Inventory'!B433="","",'Step 2- Activity Inventory'!B433)</f>
        <v/>
      </c>
      <c r="C430" s="77" t="str">
        <f>IF('Step 2- Activity Inventory'!C433="","",'Step 2- Activity Inventory'!C433)</f>
        <v/>
      </c>
      <c r="D430" s="88" t="str">
        <f>IF('Step 2- Activity Inventory'!E433="","",'Step 2- Activity Inventory'!E433)</f>
        <v/>
      </c>
      <c r="E430" s="88" t="str">
        <f>IF('Step 2- Activity Inventory'!F433="","",'Step 2- Activity Inventory'!F433)</f>
        <v/>
      </c>
      <c r="F430" s="88" t="str">
        <f>IF(E430="Genius","N/A",IF('Step 2- Activity Inventory'!G433="","",'Step 2- Activity Inventory'!G433))</f>
        <v/>
      </c>
      <c r="G430" s="89" t="str">
        <f>IF('Step 2- Activity Inventory'!D433="","",'Step 2- Activity Inventory'!D433)</f>
        <v/>
      </c>
      <c r="H430" s="90"/>
      <c r="I430" s="24"/>
      <c r="J430" s="24"/>
      <c r="K430" s="91"/>
      <c r="L430" s="92" t="str">
        <f>IF(OR('Step 2- Activity Inventory'!O433=6,AND('Step 2- Activity Inventory'!O433=5,E430="Genius")),'Step 1- Hrly Rate Calc'!$D$18,"")</f>
        <v/>
      </c>
      <c r="M430" s="93" t="str">
        <f t="shared" si="18"/>
        <v/>
      </c>
      <c r="N430" s="93" t="str">
        <f>IF(L430="","",IF(IFERROR((G430/60)*M430*2*'Step 1- Hrly Rate Calc'!$D$14,"")&lt;0,"N/A",IFERROR((G430/60)*M430*2*'Step 1- Hrly Rate Calc'!$D$14,"")))</f>
        <v/>
      </c>
      <c r="O430" s="77" t="str">
        <f t="shared" si="19"/>
        <v/>
      </c>
      <c r="P430" s="77" t="str">
        <f t="shared" si="20"/>
        <v/>
      </c>
    </row>
    <row r="431" spans="2:16" s="61" customFormat="1" ht="34" customHeight="1" x14ac:dyDescent="0.2">
      <c r="B431" s="77" t="str">
        <f>IF('Step 2- Activity Inventory'!B434="","",'Step 2- Activity Inventory'!B434)</f>
        <v/>
      </c>
      <c r="C431" s="77" t="str">
        <f>IF('Step 2- Activity Inventory'!C434="","",'Step 2- Activity Inventory'!C434)</f>
        <v/>
      </c>
      <c r="D431" s="88" t="str">
        <f>IF('Step 2- Activity Inventory'!E434="","",'Step 2- Activity Inventory'!E434)</f>
        <v/>
      </c>
      <c r="E431" s="88" t="str">
        <f>IF('Step 2- Activity Inventory'!F434="","",'Step 2- Activity Inventory'!F434)</f>
        <v/>
      </c>
      <c r="F431" s="88" t="str">
        <f>IF(E431="Genius","N/A",IF('Step 2- Activity Inventory'!G434="","",'Step 2- Activity Inventory'!G434))</f>
        <v/>
      </c>
      <c r="G431" s="89" t="str">
        <f>IF('Step 2- Activity Inventory'!D434="","",'Step 2- Activity Inventory'!D434)</f>
        <v/>
      </c>
      <c r="H431" s="90"/>
      <c r="I431" s="24"/>
      <c r="J431" s="24"/>
      <c r="K431" s="91"/>
      <c r="L431" s="92" t="str">
        <f>IF(OR('Step 2- Activity Inventory'!O434=6,AND('Step 2- Activity Inventory'!O434=5,E431="Genius")),'Step 1- Hrly Rate Calc'!$D$18,"")</f>
        <v/>
      </c>
      <c r="M431" s="93" t="str">
        <f t="shared" si="18"/>
        <v/>
      </c>
      <c r="N431" s="93" t="str">
        <f>IF(L431="","",IF(IFERROR((G431/60)*M431*2*'Step 1- Hrly Rate Calc'!$D$14,"")&lt;0,"N/A",IFERROR((G431/60)*M431*2*'Step 1- Hrly Rate Calc'!$D$14,"")))</f>
        <v/>
      </c>
      <c r="O431" s="77" t="str">
        <f t="shared" si="19"/>
        <v/>
      </c>
      <c r="P431" s="77" t="str">
        <f t="shared" si="20"/>
        <v/>
      </c>
    </row>
    <row r="432" spans="2:16" s="61" customFormat="1" ht="34" customHeight="1" x14ac:dyDescent="0.2">
      <c r="B432" s="77" t="str">
        <f>IF('Step 2- Activity Inventory'!B435="","",'Step 2- Activity Inventory'!B435)</f>
        <v/>
      </c>
      <c r="C432" s="77" t="str">
        <f>IF('Step 2- Activity Inventory'!C435="","",'Step 2- Activity Inventory'!C435)</f>
        <v/>
      </c>
      <c r="D432" s="88" t="str">
        <f>IF('Step 2- Activity Inventory'!E435="","",'Step 2- Activity Inventory'!E435)</f>
        <v/>
      </c>
      <c r="E432" s="88" t="str">
        <f>IF('Step 2- Activity Inventory'!F435="","",'Step 2- Activity Inventory'!F435)</f>
        <v/>
      </c>
      <c r="F432" s="88" t="str">
        <f>IF(E432="Genius","N/A",IF('Step 2- Activity Inventory'!G435="","",'Step 2- Activity Inventory'!G435))</f>
        <v/>
      </c>
      <c r="G432" s="89" t="str">
        <f>IF('Step 2- Activity Inventory'!D435="","",'Step 2- Activity Inventory'!D435)</f>
        <v/>
      </c>
      <c r="H432" s="90"/>
      <c r="I432" s="24"/>
      <c r="J432" s="24"/>
      <c r="K432" s="91"/>
      <c r="L432" s="92" t="str">
        <f>IF(OR('Step 2- Activity Inventory'!O435=6,AND('Step 2- Activity Inventory'!O435=5,E432="Genius")),'Step 1- Hrly Rate Calc'!$D$18,"")</f>
        <v/>
      </c>
      <c r="M432" s="93" t="str">
        <f t="shared" si="18"/>
        <v/>
      </c>
      <c r="N432" s="93" t="str">
        <f>IF(L432="","",IF(IFERROR((G432/60)*M432*2*'Step 1- Hrly Rate Calc'!$D$14,"")&lt;0,"N/A",IFERROR((G432/60)*M432*2*'Step 1- Hrly Rate Calc'!$D$14,"")))</f>
        <v/>
      </c>
      <c r="O432" s="77" t="str">
        <f t="shared" si="19"/>
        <v/>
      </c>
      <c r="P432" s="77" t="str">
        <f t="shared" si="20"/>
        <v/>
      </c>
    </row>
    <row r="433" spans="2:16" s="61" customFormat="1" ht="34" customHeight="1" x14ac:dyDescent="0.2">
      <c r="B433" s="77" t="str">
        <f>IF('Step 2- Activity Inventory'!B436="","",'Step 2- Activity Inventory'!B436)</f>
        <v/>
      </c>
      <c r="C433" s="77" t="str">
        <f>IF('Step 2- Activity Inventory'!C436="","",'Step 2- Activity Inventory'!C436)</f>
        <v/>
      </c>
      <c r="D433" s="88" t="str">
        <f>IF('Step 2- Activity Inventory'!E436="","",'Step 2- Activity Inventory'!E436)</f>
        <v/>
      </c>
      <c r="E433" s="88" t="str">
        <f>IF('Step 2- Activity Inventory'!F436="","",'Step 2- Activity Inventory'!F436)</f>
        <v/>
      </c>
      <c r="F433" s="88" t="str">
        <f>IF(E433="Genius","N/A",IF('Step 2- Activity Inventory'!G436="","",'Step 2- Activity Inventory'!G436))</f>
        <v/>
      </c>
      <c r="G433" s="89" t="str">
        <f>IF('Step 2- Activity Inventory'!D436="","",'Step 2- Activity Inventory'!D436)</f>
        <v/>
      </c>
      <c r="H433" s="90"/>
      <c r="I433" s="24"/>
      <c r="J433" s="24"/>
      <c r="K433" s="91"/>
      <c r="L433" s="92" t="str">
        <f>IF(OR('Step 2- Activity Inventory'!O436=6,AND('Step 2- Activity Inventory'!O436=5,E433="Genius")),'Step 1- Hrly Rate Calc'!$D$18,"")</f>
        <v/>
      </c>
      <c r="M433" s="93" t="str">
        <f t="shared" si="18"/>
        <v/>
      </c>
      <c r="N433" s="93" t="str">
        <f>IF(L433="","",IF(IFERROR((G433/60)*M433*2*'Step 1- Hrly Rate Calc'!$D$14,"")&lt;0,"N/A",IFERROR((G433/60)*M433*2*'Step 1- Hrly Rate Calc'!$D$14,"")))</f>
        <v/>
      </c>
      <c r="O433" s="77" t="str">
        <f t="shared" si="19"/>
        <v/>
      </c>
      <c r="P433" s="77" t="str">
        <f t="shared" si="20"/>
        <v/>
      </c>
    </row>
    <row r="434" spans="2:16" s="61" customFormat="1" ht="34" customHeight="1" x14ac:dyDescent="0.2">
      <c r="B434" s="77" t="str">
        <f>IF('Step 2- Activity Inventory'!B437="","",'Step 2- Activity Inventory'!B437)</f>
        <v/>
      </c>
      <c r="C434" s="77" t="str">
        <f>IF('Step 2- Activity Inventory'!C437="","",'Step 2- Activity Inventory'!C437)</f>
        <v/>
      </c>
      <c r="D434" s="88" t="str">
        <f>IF('Step 2- Activity Inventory'!E437="","",'Step 2- Activity Inventory'!E437)</f>
        <v/>
      </c>
      <c r="E434" s="88" t="str">
        <f>IF('Step 2- Activity Inventory'!F437="","",'Step 2- Activity Inventory'!F437)</f>
        <v/>
      </c>
      <c r="F434" s="88" t="str">
        <f>IF(E434="Genius","N/A",IF('Step 2- Activity Inventory'!G437="","",'Step 2- Activity Inventory'!G437))</f>
        <v/>
      </c>
      <c r="G434" s="89" t="str">
        <f>IF('Step 2- Activity Inventory'!D437="","",'Step 2- Activity Inventory'!D437)</f>
        <v/>
      </c>
      <c r="H434" s="90"/>
      <c r="I434" s="24"/>
      <c r="J434" s="24"/>
      <c r="K434" s="91"/>
      <c r="L434" s="92" t="str">
        <f>IF(OR('Step 2- Activity Inventory'!O437=6,AND('Step 2- Activity Inventory'!O437=5,E434="Genius")),'Step 1- Hrly Rate Calc'!$D$18,"")</f>
        <v/>
      </c>
      <c r="M434" s="93" t="str">
        <f t="shared" si="18"/>
        <v/>
      </c>
      <c r="N434" s="93" t="str">
        <f>IF(L434="","",IF(IFERROR((G434/60)*M434*2*'Step 1- Hrly Rate Calc'!$D$14,"")&lt;0,"N/A",IFERROR((G434/60)*M434*2*'Step 1- Hrly Rate Calc'!$D$14,"")))</f>
        <v/>
      </c>
      <c r="O434" s="77" t="str">
        <f t="shared" si="19"/>
        <v/>
      </c>
      <c r="P434" s="77" t="str">
        <f t="shared" si="20"/>
        <v/>
      </c>
    </row>
    <row r="435" spans="2:16" s="61" customFormat="1" ht="34" customHeight="1" x14ac:dyDescent="0.2">
      <c r="B435" s="77" t="str">
        <f>IF('Step 2- Activity Inventory'!B438="","",'Step 2- Activity Inventory'!B438)</f>
        <v/>
      </c>
      <c r="C435" s="77" t="str">
        <f>IF('Step 2- Activity Inventory'!C438="","",'Step 2- Activity Inventory'!C438)</f>
        <v/>
      </c>
      <c r="D435" s="88" t="str">
        <f>IF('Step 2- Activity Inventory'!E438="","",'Step 2- Activity Inventory'!E438)</f>
        <v/>
      </c>
      <c r="E435" s="88" t="str">
        <f>IF('Step 2- Activity Inventory'!F438="","",'Step 2- Activity Inventory'!F438)</f>
        <v/>
      </c>
      <c r="F435" s="88" t="str">
        <f>IF(E435="Genius","N/A",IF('Step 2- Activity Inventory'!G438="","",'Step 2- Activity Inventory'!G438))</f>
        <v/>
      </c>
      <c r="G435" s="89" t="str">
        <f>IF('Step 2- Activity Inventory'!D438="","",'Step 2- Activity Inventory'!D438)</f>
        <v/>
      </c>
      <c r="H435" s="90"/>
      <c r="I435" s="24"/>
      <c r="J435" s="24"/>
      <c r="K435" s="91"/>
      <c r="L435" s="92" t="str">
        <f>IF(OR('Step 2- Activity Inventory'!O438=6,AND('Step 2- Activity Inventory'!O438=5,E435="Genius")),'Step 1- Hrly Rate Calc'!$D$18,"")</f>
        <v/>
      </c>
      <c r="M435" s="93" t="str">
        <f t="shared" si="18"/>
        <v/>
      </c>
      <c r="N435" s="93" t="str">
        <f>IF(L435="","",IF(IFERROR((G435/60)*M435*2*'Step 1- Hrly Rate Calc'!$D$14,"")&lt;0,"N/A",IFERROR((G435/60)*M435*2*'Step 1- Hrly Rate Calc'!$D$14,"")))</f>
        <v/>
      </c>
      <c r="O435" s="77" t="str">
        <f t="shared" si="19"/>
        <v/>
      </c>
      <c r="P435" s="77" t="str">
        <f t="shared" si="20"/>
        <v/>
      </c>
    </row>
    <row r="436" spans="2:16" s="61" customFormat="1" ht="34" customHeight="1" x14ac:dyDescent="0.2">
      <c r="B436" s="77" t="str">
        <f>IF('Step 2- Activity Inventory'!B439="","",'Step 2- Activity Inventory'!B439)</f>
        <v/>
      </c>
      <c r="C436" s="77" t="str">
        <f>IF('Step 2- Activity Inventory'!C439="","",'Step 2- Activity Inventory'!C439)</f>
        <v/>
      </c>
      <c r="D436" s="88" t="str">
        <f>IF('Step 2- Activity Inventory'!E439="","",'Step 2- Activity Inventory'!E439)</f>
        <v/>
      </c>
      <c r="E436" s="88" t="str">
        <f>IF('Step 2- Activity Inventory'!F439="","",'Step 2- Activity Inventory'!F439)</f>
        <v/>
      </c>
      <c r="F436" s="88" t="str">
        <f>IF(E436="Genius","N/A",IF('Step 2- Activity Inventory'!G439="","",'Step 2- Activity Inventory'!G439))</f>
        <v/>
      </c>
      <c r="G436" s="89" t="str">
        <f>IF('Step 2- Activity Inventory'!D439="","",'Step 2- Activity Inventory'!D439)</f>
        <v/>
      </c>
      <c r="H436" s="90"/>
      <c r="I436" s="24"/>
      <c r="J436" s="24"/>
      <c r="K436" s="91"/>
      <c r="L436" s="92" t="str">
        <f>IF(OR('Step 2- Activity Inventory'!O439=6,AND('Step 2- Activity Inventory'!O439=5,E436="Genius")),'Step 1- Hrly Rate Calc'!$D$18,"")</f>
        <v/>
      </c>
      <c r="M436" s="93" t="str">
        <f t="shared" si="18"/>
        <v/>
      </c>
      <c r="N436" s="93" t="str">
        <f>IF(L436="","",IF(IFERROR((G436/60)*M436*2*'Step 1- Hrly Rate Calc'!$D$14,"")&lt;0,"N/A",IFERROR((G436/60)*M436*2*'Step 1- Hrly Rate Calc'!$D$14,"")))</f>
        <v/>
      </c>
      <c r="O436" s="77" t="str">
        <f t="shared" si="19"/>
        <v/>
      </c>
      <c r="P436" s="77" t="str">
        <f t="shared" si="20"/>
        <v/>
      </c>
    </row>
    <row r="437" spans="2:16" s="61" customFormat="1" ht="34" customHeight="1" x14ac:dyDescent="0.2">
      <c r="B437" s="77" t="str">
        <f>IF('Step 2- Activity Inventory'!B440="","",'Step 2- Activity Inventory'!B440)</f>
        <v/>
      </c>
      <c r="C437" s="77" t="str">
        <f>IF('Step 2- Activity Inventory'!C440="","",'Step 2- Activity Inventory'!C440)</f>
        <v/>
      </c>
      <c r="D437" s="88" t="str">
        <f>IF('Step 2- Activity Inventory'!E440="","",'Step 2- Activity Inventory'!E440)</f>
        <v/>
      </c>
      <c r="E437" s="88" t="str">
        <f>IF('Step 2- Activity Inventory'!F440="","",'Step 2- Activity Inventory'!F440)</f>
        <v/>
      </c>
      <c r="F437" s="88" t="str">
        <f>IF(E437="Genius","N/A",IF('Step 2- Activity Inventory'!G440="","",'Step 2- Activity Inventory'!G440))</f>
        <v/>
      </c>
      <c r="G437" s="89" t="str">
        <f>IF('Step 2- Activity Inventory'!D440="","",'Step 2- Activity Inventory'!D440)</f>
        <v/>
      </c>
      <c r="H437" s="90"/>
      <c r="I437" s="24"/>
      <c r="J437" s="24"/>
      <c r="K437" s="91"/>
      <c r="L437" s="92" t="str">
        <f>IF(OR('Step 2- Activity Inventory'!O440=6,AND('Step 2- Activity Inventory'!O440=5,E437="Genius")),'Step 1- Hrly Rate Calc'!$D$18,"")</f>
        <v/>
      </c>
      <c r="M437" s="93" t="str">
        <f t="shared" si="18"/>
        <v/>
      </c>
      <c r="N437" s="93" t="str">
        <f>IF(L437="","",IF(IFERROR((G437/60)*M437*2*'Step 1- Hrly Rate Calc'!$D$14,"")&lt;0,"N/A",IFERROR((G437/60)*M437*2*'Step 1- Hrly Rate Calc'!$D$14,"")))</f>
        <v/>
      </c>
      <c r="O437" s="77" t="str">
        <f t="shared" si="19"/>
        <v/>
      </c>
      <c r="P437" s="77" t="str">
        <f t="shared" si="20"/>
        <v/>
      </c>
    </row>
    <row r="438" spans="2:16" s="61" customFormat="1" ht="34" customHeight="1" x14ac:dyDescent="0.2">
      <c r="B438" s="77" t="str">
        <f>IF('Step 2- Activity Inventory'!B441="","",'Step 2- Activity Inventory'!B441)</f>
        <v/>
      </c>
      <c r="C438" s="77" t="str">
        <f>IF('Step 2- Activity Inventory'!C441="","",'Step 2- Activity Inventory'!C441)</f>
        <v/>
      </c>
      <c r="D438" s="88" t="str">
        <f>IF('Step 2- Activity Inventory'!E441="","",'Step 2- Activity Inventory'!E441)</f>
        <v/>
      </c>
      <c r="E438" s="88" t="str">
        <f>IF('Step 2- Activity Inventory'!F441="","",'Step 2- Activity Inventory'!F441)</f>
        <v/>
      </c>
      <c r="F438" s="88" t="str">
        <f>IF(E438="Genius","N/A",IF('Step 2- Activity Inventory'!G441="","",'Step 2- Activity Inventory'!G441))</f>
        <v/>
      </c>
      <c r="G438" s="89" t="str">
        <f>IF('Step 2- Activity Inventory'!D441="","",'Step 2- Activity Inventory'!D441)</f>
        <v/>
      </c>
      <c r="H438" s="90"/>
      <c r="I438" s="24"/>
      <c r="J438" s="24"/>
      <c r="K438" s="91"/>
      <c r="L438" s="92" t="str">
        <f>IF(OR('Step 2- Activity Inventory'!O441=6,AND('Step 2- Activity Inventory'!O441=5,E438="Genius")),'Step 1- Hrly Rate Calc'!$D$18,"")</f>
        <v/>
      </c>
      <c r="M438" s="93" t="str">
        <f t="shared" si="18"/>
        <v/>
      </c>
      <c r="N438" s="93" t="str">
        <f>IF(L438="","",IF(IFERROR((G438/60)*M438*2*'Step 1- Hrly Rate Calc'!$D$14,"")&lt;0,"N/A",IFERROR((G438/60)*M438*2*'Step 1- Hrly Rate Calc'!$D$14,"")))</f>
        <v/>
      </c>
      <c r="O438" s="77" t="str">
        <f t="shared" si="19"/>
        <v/>
      </c>
      <c r="P438" s="77" t="str">
        <f t="shared" si="20"/>
        <v/>
      </c>
    </row>
    <row r="439" spans="2:16" s="61" customFormat="1" ht="34" customHeight="1" x14ac:dyDescent="0.2">
      <c r="B439" s="77" t="str">
        <f>IF('Step 2- Activity Inventory'!B442="","",'Step 2- Activity Inventory'!B442)</f>
        <v/>
      </c>
      <c r="C439" s="77" t="str">
        <f>IF('Step 2- Activity Inventory'!C442="","",'Step 2- Activity Inventory'!C442)</f>
        <v/>
      </c>
      <c r="D439" s="88" t="str">
        <f>IF('Step 2- Activity Inventory'!E442="","",'Step 2- Activity Inventory'!E442)</f>
        <v/>
      </c>
      <c r="E439" s="88" t="str">
        <f>IF('Step 2- Activity Inventory'!F442="","",'Step 2- Activity Inventory'!F442)</f>
        <v/>
      </c>
      <c r="F439" s="88" t="str">
        <f>IF(E439="Genius","N/A",IF('Step 2- Activity Inventory'!G442="","",'Step 2- Activity Inventory'!G442))</f>
        <v/>
      </c>
      <c r="G439" s="89" t="str">
        <f>IF('Step 2- Activity Inventory'!D442="","",'Step 2- Activity Inventory'!D442)</f>
        <v/>
      </c>
      <c r="H439" s="90"/>
      <c r="I439" s="24"/>
      <c r="J439" s="24"/>
      <c r="K439" s="91"/>
      <c r="L439" s="92" t="str">
        <f>IF(OR('Step 2- Activity Inventory'!O442=6,AND('Step 2- Activity Inventory'!O442=5,E439="Genius")),'Step 1- Hrly Rate Calc'!$D$18,"")</f>
        <v/>
      </c>
      <c r="M439" s="93" t="str">
        <f t="shared" si="18"/>
        <v/>
      </c>
      <c r="N439" s="93" t="str">
        <f>IF(L439="","",IF(IFERROR((G439/60)*M439*2*'Step 1- Hrly Rate Calc'!$D$14,"")&lt;0,"N/A",IFERROR((G439/60)*M439*2*'Step 1- Hrly Rate Calc'!$D$14,"")))</f>
        <v/>
      </c>
      <c r="O439" s="77" t="str">
        <f t="shared" si="19"/>
        <v/>
      </c>
      <c r="P439" s="77" t="str">
        <f t="shared" si="20"/>
        <v/>
      </c>
    </row>
    <row r="440" spans="2:16" s="61" customFormat="1" ht="34" customHeight="1" x14ac:dyDescent="0.2">
      <c r="B440" s="77" t="str">
        <f>IF('Step 2- Activity Inventory'!B443="","",'Step 2- Activity Inventory'!B443)</f>
        <v/>
      </c>
      <c r="C440" s="77" t="str">
        <f>IF('Step 2- Activity Inventory'!C443="","",'Step 2- Activity Inventory'!C443)</f>
        <v/>
      </c>
      <c r="D440" s="88" t="str">
        <f>IF('Step 2- Activity Inventory'!E443="","",'Step 2- Activity Inventory'!E443)</f>
        <v/>
      </c>
      <c r="E440" s="88" t="str">
        <f>IF('Step 2- Activity Inventory'!F443="","",'Step 2- Activity Inventory'!F443)</f>
        <v/>
      </c>
      <c r="F440" s="88" t="str">
        <f>IF(E440="Genius","N/A",IF('Step 2- Activity Inventory'!G443="","",'Step 2- Activity Inventory'!G443))</f>
        <v/>
      </c>
      <c r="G440" s="89" t="str">
        <f>IF('Step 2- Activity Inventory'!D443="","",'Step 2- Activity Inventory'!D443)</f>
        <v/>
      </c>
      <c r="H440" s="90"/>
      <c r="I440" s="24"/>
      <c r="J440" s="24"/>
      <c r="K440" s="91"/>
      <c r="L440" s="92" t="str">
        <f>IF(OR('Step 2- Activity Inventory'!O443=6,AND('Step 2- Activity Inventory'!O443=5,E440="Genius")),'Step 1- Hrly Rate Calc'!$D$18,"")</f>
        <v/>
      </c>
      <c r="M440" s="93" t="str">
        <f t="shared" si="18"/>
        <v/>
      </c>
      <c r="N440" s="93" t="str">
        <f>IF(L440="","",IF(IFERROR((G440/60)*M440*2*'Step 1- Hrly Rate Calc'!$D$14,"")&lt;0,"N/A",IFERROR((G440/60)*M440*2*'Step 1- Hrly Rate Calc'!$D$14,"")))</f>
        <v/>
      </c>
      <c r="O440" s="77" t="str">
        <f t="shared" si="19"/>
        <v/>
      </c>
      <c r="P440" s="77" t="str">
        <f t="shared" si="20"/>
        <v/>
      </c>
    </row>
    <row r="441" spans="2:16" s="61" customFormat="1" ht="34" customHeight="1" x14ac:dyDescent="0.2">
      <c r="B441" s="77" t="str">
        <f>IF('Step 2- Activity Inventory'!B444="","",'Step 2- Activity Inventory'!B444)</f>
        <v/>
      </c>
      <c r="C441" s="77" t="str">
        <f>IF('Step 2- Activity Inventory'!C444="","",'Step 2- Activity Inventory'!C444)</f>
        <v/>
      </c>
      <c r="D441" s="88" t="str">
        <f>IF('Step 2- Activity Inventory'!E444="","",'Step 2- Activity Inventory'!E444)</f>
        <v/>
      </c>
      <c r="E441" s="88" t="str">
        <f>IF('Step 2- Activity Inventory'!F444="","",'Step 2- Activity Inventory'!F444)</f>
        <v/>
      </c>
      <c r="F441" s="88" t="str">
        <f>IF(E441="Genius","N/A",IF('Step 2- Activity Inventory'!G444="","",'Step 2- Activity Inventory'!G444))</f>
        <v/>
      </c>
      <c r="G441" s="89" t="str">
        <f>IF('Step 2- Activity Inventory'!D444="","",'Step 2- Activity Inventory'!D444)</f>
        <v/>
      </c>
      <c r="H441" s="90"/>
      <c r="I441" s="24"/>
      <c r="J441" s="24"/>
      <c r="K441" s="91"/>
      <c r="L441" s="92" t="str">
        <f>IF(OR('Step 2- Activity Inventory'!O444=6,AND('Step 2- Activity Inventory'!O444=5,E441="Genius")),'Step 1- Hrly Rate Calc'!$D$18,"")</f>
        <v/>
      </c>
      <c r="M441" s="93" t="str">
        <f t="shared" si="18"/>
        <v/>
      </c>
      <c r="N441" s="93" t="str">
        <f>IF(L441="","",IF(IFERROR((G441/60)*M441*2*'Step 1- Hrly Rate Calc'!$D$14,"")&lt;0,"N/A",IFERROR((G441/60)*M441*2*'Step 1- Hrly Rate Calc'!$D$14,"")))</f>
        <v/>
      </c>
      <c r="O441" s="77" t="str">
        <f t="shared" si="19"/>
        <v/>
      </c>
      <c r="P441" s="77" t="str">
        <f t="shared" si="20"/>
        <v/>
      </c>
    </row>
    <row r="442" spans="2:16" s="61" customFormat="1" ht="34" customHeight="1" x14ac:dyDescent="0.2">
      <c r="B442" s="77" t="str">
        <f>IF('Step 2- Activity Inventory'!B445="","",'Step 2- Activity Inventory'!B445)</f>
        <v/>
      </c>
      <c r="C442" s="77" t="str">
        <f>IF('Step 2- Activity Inventory'!C445="","",'Step 2- Activity Inventory'!C445)</f>
        <v/>
      </c>
      <c r="D442" s="88" t="str">
        <f>IF('Step 2- Activity Inventory'!E445="","",'Step 2- Activity Inventory'!E445)</f>
        <v/>
      </c>
      <c r="E442" s="88" t="str">
        <f>IF('Step 2- Activity Inventory'!F445="","",'Step 2- Activity Inventory'!F445)</f>
        <v/>
      </c>
      <c r="F442" s="88" t="str">
        <f>IF(E442="Genius","N/A",IF('Step 2- Activity Inventory'!G445="","",'Step 2- Activity Inventory'!G445))</f>
        <v/>
      </c>
      <c r="G442" s="89" t="str">
        <f>IF('Step 2- Activity Inventory'!D445="","",'Step 2- Activity Inventory'!D445)</f>
        <v/>
      </c>
      <c r="H442" s="90"/>
      <c r="I442" s="24"/>
      <c r="J442" s="24"/>
      <c r="K442" s="91"/>
      <c r="L442" s="92" t="str">
        <f>IF(OR('Step 2- Activity Inventory'!O445=6,AND('Step 2- Activity Inventory'!O445=5,E442="Genius")),'Step 1- Hrly Rate Calc'!$D$18,"")</f>
        <v/>
      </c>
      <c r="M442" s="93" t="str">
        <f t="shared" si="18"/>
        <v/>
      </c>
      <c r="N442" s="93" t="str">
        <f>IF(L442="","",IF(IFERROR((G442/60)*M442*2*'Step 1- Hrly Rate Calc'!$D$14,"")&lt;0,"N/A",IFERROR((G442/60)*M442*2*'Step 1- Hrly Rate Calc'!$D$14,"")))</f>
        <v/>
      </c>
      <c r="O442" s="77" t="str">
        <f t="shared" si="19"/>
        <v/>
      </c>
      <c r="P442" s="77" t="str">
        <f t="shared" si="20"/>
        <v/>
      </c>
    </row>
    <row r="443" spans="2:16" s="61" customFormat="1" ht="34" customHeight="1" x14ac:dyDescent="0.2">
      <c r="B443" s="77" t="str">
        <f>IF('Step 2- Activity Inventory'!B446="","",'Step 2- Activity Inventory'!B446)</f>
        <v/>
      </c>
      <c r="C443" s="77" t="str">
        <f>IF('Step 2- Activity Inventory'!C446="","",'Step 2- Activity Inventory'!C446)</f>
        <v/>
      </c>
      <c r="D443" s="88" t="str">
        <f>IF('Step 2- Activity Inventory'!E446="","",'Step 2- Activity Inventory'!E446)</f>
        <v/>
      </c>
      <c r="E443" s="88" t="str">
        <f>IF('Step 2- Activity Inventory'!F446="","",'Step 2- Activity Inventory'!F446)</f>
        <v/>
      </c>
      <c r="F443" s="88" t="str">
        <f>IF(E443="Genius","N/A",IF('Step 2- Activity Inventory'!G446="","",'Step 2- Activity Inventory'!G446))</f>
        <v/>
      </c>
      <c r="G443" s="89" t="str">
        <f>IF('Step 2- Activity Inventory'!D446="","",'Step 2- Activity Inventory'!D446)</f>
        <v/>
      </c>
      <c r="H443" s="90"/>
      <c r="I443" s="24"/>
      <c r="J443" s="24"/>
      <c r="K443" s="91"/>
      <c r="L443" s="92" t="str">
        <f>IF(OR('Step 2- Activity Inventory'!O446=6,AND('Step 2- Activity Inventory'!O446=5,E443="Genius")),'Step 1- Hrly Rate Calc'!$D$18,"")</f>
        <v/>
      </c>
      <c r="M443" s="93" t="str">
        <f t="shared" si="18"/>
        <v/>
      </c>
      <c r="N443" s="93" t="str">
        <f>IF(L443="","",IF(IFERROR((G443/60)*M443*2*'Step 1- Hrly Rate Calc'!$D$14,"")&lt;0,"N/A",IFERROR((G443/60)*M443*2*'Step 1- Hrly Rate Calc'!$D$14,"")))</f>
        <v/>
      </c>
      <c r="O443" s="77" t="str">
        <f t="shared" si="19"/>
        <v/>
      </c>
      <c r="P443" s="77" t="str">
        <f t="shared" si="20"/>
        <v/>
      </c>
    </row>
    <row r="444" spans="2:16" s="61" customFormat="1" ht="34" customHeight="1" x14ac:dyDescent="0.2">
      <c r="B444" s="77" t="str">
        <f>IF('Step 2- Activity Inventory'!B447="","",'Step 2- Activity Inventory'!B447)</f>
        <v/>
      </c>
      <c r="C444" s="77" t="str">
        <f>IF('Step 2- Activity Inventory'!C447="","",'Step 2- Activity Inventory'!C447)</f>
        <v/>
      </c>
      <c r="D444" s="88" t="str">
        <f>IF('Step 2- Activity Inventory'!E447="","",'Step 2- Activity Inventory'!E447)</f>
        <v/>
      </c>
      <c r="E444" s="88" t="str">
        <f>IF('Step 2- Activity Inventory'!F447="","",'Step 2- Activity Inventory'!F447)</f>
        <v/>
      </c>
      <c r="F444" s="88" t="str">
        <f>IF(E444="Genius","N/A",IF('Step 2- Activity Inventory'!G447="","",'Step 2- Activity Inventory'!G447))</f>
        <v/>
      </c>
      <c r="G444" s="89" t="str">
        <f>IF('Step 2- Activity Inventory'!D447="","",'Step 2- Activity Inventory'!D447)</f>
        <v/>
      </c>
      <c r="H444" s="90"/>
      <c r="I444" s="24"/>
      <c r="J444" s="24"/>
      <c r="K444" s="91"/>
      <c r="L444" s="92" t="str">
        <f>IF(OR('Step 2- Activity Inventory'!O447=6,AND('Step 2- Activity Inventory'!O447=5,E444="Genius")),'Step 1- Hrly Rate Calc'!$D$18,"")</f>
        <v/>
      </c>
      <c r="M444" s="93" t="str">
        <f t="shared" si="18"/>
        <v/>
      </c>
      <c r="N444" s="93" t="str">
        <f>IF(L444="","",IF(IFERROR((G444/60)*M444*2*'Step 1- Hrly Rate Calc'!$D$14,"")&lt;0,"N/A",IFERROR((G444/60)*M444*2*'Step 1- Hrly Rate Calc'!$D$14,"")))</f>
        <v/>
      </c>
      <c r="O444" s="77" t="str">
        <f t="shared" si="19"/>
        <v/>
      </c>
      <c r="P444" s="77" t="str">
        <f t="shared" si="20"/>
        <v/>
      </c>
    </row>
    <row r="445" spans="2:16" s="61" customFormat="1" ht="34" customHeight="1" x14ac:dyDescent="0.2">
      <c r="B445" s="77" t="str">
        <f>IF('Step 2- Activity Inventory'!B448="","",'Step 2- Activity Inventory'!B448)</f>
        <v/>
      </c>
      <c r="C445" s="77" t="str">
        <f>IF('Step 2- Activity Inventory'!C448="","",'Step 2- Activity Inventory'!C448)</f>
        <v/>
      </c>
      <c r="D445" s="88" t="str">
        <f>IF('Step 2- Activity Inventory'!E448="","",'Step 2- Activity Inventory'!E448)</f>
        <v/>
      </c>
      <c r="E445" s="88" t="str">
        <f>IF('Step 2- Activity Inventory'!F448="","",'Step 2- Activity Inventory'!F448)</f>
        <v/>
      </c>
      <c r="F445" s="88" t="str">
        <f>IF(E445="Genius","N/A",IF('Step 2- Activity Inventory'!G448="","",'Step 2- Activity Inventory'!G448))</f>
        <v/>
      </c>
      <c r="G445" s="89" t="str">
        <f>IF('Step 2- Activity Inventory'!D448="","",'Step 2- Activity Inventory'!D448)</f>
        <v/>
      </c>
      <c r="H445" s="90"/>
      <c r="I445" s="24"/>
      <c r="J445" s="24"/>
      <c r="K445" s="91"/>
      <c r="L445" s="92" t="str">
        <f>IF(OR('Step 2- Activity Inventory'!O448=6,AND('Step 2- Activity Inventory'!O448=5,E445="Genius")),'Step 1- Hrly Rate Calc'!$D$18,"")</f>
        <v/>
      </c>
      <c r="M445" s="93" t="str">
        <f t="shared" si="18"/>
        <v/>
      </c>
      <c r="N445" s="93" t="str">
        <f>IF(L445="","",IF(IFERROR((G445/60)*M445*2*'Step 1- Hrly Rate Calc'!$D$14,"")&lt;0,"N/A",IFERROR((G445/60)*M445*2*'Step 1- Hrly Rate Calc'!$D$14,"")))</f>
        <v/>
      </c>
      <c r="O445" s="77" t="str">
        <f t="shared" si="19"/>
        <v/>
      </c>
      <c r="P445" s="77" t="str">
        <f t="shared" si="20"/>
        <v/>
      </c>
    </row>
    <row r="446" spans="2:16" s="61" customFormat="1" ht="34" customHeight="1" x14ac:dyDescent="0.2">
      <c r="B446" s="77" t="str">
        <f>IF('Step 2- Activity Inventory'!B449="","",'Step 2- Activity Inventory'!B449)</f>
        <v/>
      </c>
      <c r="C446" s="77" t="str">
        <f>IF('Step 2- Activity Inventory'!C449="","",'Step 2- Activity Inventory'!C449)</f>
        <v/>
      </c>
      <c r="D446" s="88" t="str">
        <f>IF('Step 2- Activity Inventory'!E449="","",'Step 2- Activity Inventory'!E449)</f>
        <v/>
      </c>
      <c r="E446" s="88" t="str">
        <f>IF('Step 2- Activity Inventory'!F449="","",'Step 2- Activity Inventory'!F449)</f>
        <v/>
      </c>
      <c r="F446" s="88" t="str">
        <f>IF(E446="Genius","N/A",IF('Step 2- Activity Inventory'!G449="","",'Step 2- Activity Inventory'!G449))</f>
        <v/>
      </c>
      <c r="G446" s="89" t="str">
        <f>IF('Step 2- Activity Inventory'!D449="","",'Step 2- Activity Inventory'!D449)</f>
        <v/>
      </c>
      <c r="H446" s="90"/>
      <c r="I446" s="24"/>
      <c r="J446" s="24"/>
      <c r="K446" s="91"/>
      <c r="L446" s="92" t="str">
        <f>IF(OR('Step 2- Activity Inventory'!O449=6,AND('Step 2- Activity Inventory'!O449=5,E446="Genius")),'Step 1- Hrly Rate Calc'!$D$18,"")</f>
        <v/>
      </c>
      <c r="M446" s="93" t="str">
        <f t="shared" si="18"/>
        <v/>
      </c>
      <c r="N446" s="93" t="str">
        <f>IF(L446="","",IF(IFERROR((G446/60)*M446*2*'Step 1- Hrly Rate Calc'!$D$14,"")&lt;0,"N/A",IFERROR((G446/60)*M446*2*'Step 1- Hrly Rate Calc'!$D$14,"")))</f>
        <v/>
      </c>
      <c r="O446" s="77" t="str">
        <f t="shared" si="19"/>
        <v/>
      </c>
      <c r="P446" s="77" t="str">
        <f t="shared" si="20"/>
        <v/>
      </c>
    </row>
    <row r="447" spans="2:16" s="61" customFormat="1" ht="34" customHeight="1" x14ac:dyDescent="0.2">
      <c r="B447" s="77" t="str">
        <f>IF('Step 2- Activity Inventory'!B450="","",'Step 2- Activity Inventory'!B450)</f>
        <v/>
      </c>
      <c r="C447" s="77" t="str">
        <f>IF('Step 2- Activity Inventory'!C450="","",'Step 2- Activity Inventory'!C450)</f>
        <v/>
      </c>
      <c r="D447" s="88" t="str">
        <f>IF('Step 2- Activity Inventory'!E450="","",'Step 2- Activity Inventory'!E450)</f>
        <v/>
      </c>
      <c r="E447" s="88" t="str">
        <f>IF('Step 2- Activity Inventory'!F450="","",'Step 2- Activity Inventory'!F450)</f>
        <v/>
      </c>
      <c r="F447" s="88" t="str">
        <f>IF(E447="Genius","N/A",IF('Step 2- Activity Inventory'!G450="","",'Step 2- Activity Inventory'!G450))</f>
        <v/>
      </c>
      <c r="G447" s="89" t="str">
        <f>IF('Step 2- Activity Inventory'!D450="","",'Step 2- Activity Inventory'!D450)</f>
        <v/>
      </c>
      <c r="H447" s="90"/>
      <c r="I447" s="24"/>
      <c r="J447" s="24"/>
      <c r="K447" s="91"/>
      <c r="L447" s="92" t="str">
        <f>IF(OR('Step 2- Activity Inventory'!O450=6,AND('Step 2- Activity Inventory'!O450=5,E447="Genius")),'Step 1- Hrly Rate Calc'!$D$18,"")</f>
        <v/>
      </c>
      <c r="M447" s="93" t="str">
        <f t="shared" si="18"/>
        <v/>
      </c>
      <c r="N447" s="93" t="str">
        <f>IF(L447="","",IF(IFERROR((G447/60)*M447*2*'Step 1- Hrly Rate Calc'!$D$14,"")&lt;0,"N/A",IFERROR((G447/60)*M447*2*'Step 1- Hrly Rate Calc'!$D$14,"")))</f>
        <v/>
      </c>
      <c r="O447" s="77" t="str">
        <f t="shared" si="19"/>
        <v/>
      </c>
      <c r="P447" s="77" t="str">
        <f t="shared" si="20"/>
        <v/>
      </c>
    </row>
    <row r="448" spans="2:16" s="61" customFormat="1" ht="34" customHeight="1" x14ac:dyDescent="0.2">
      <c r="B448" s="77" t="str">
        <f>IF('Step 2- Activity Inventory'!B451="","",'Step 2- Activity Inventory'!B451)</f>
        <v/>
      </c>
      <c r="C448" s="77" t="str">
        <f>IF('Step 2- Activity Inventory'!C451="","",'Step 2- Activity Inventory'!C451)</f>
        <v/>
      </c>
      <c r="D448" s="88" t="str">
        <f>IF('Step 2- Activity Inventory'!E451="","",'Step 2- Activity Inventory'!E451)</f>
        <v/>
      </c>
      <c r="E448" s="88" t="str">
        <f>IF('Step 2- Activity Inventory'!F451="","",'Step 2- Activity Inventory'!F451)</f>
        <v/>
      </c>
      <c r="F448" s="88" t="str">
        <f>IF(E448="Genius","N/A",IF('Step 2- Activity Inventory'!G451="","",'Step 2- Activity Inventory'!G451))</f>
        <v/>
      </c>
      <c r="G448" s="89" t="str">
        <f>IF('Step 2- Activity Inventory'!D451="","",'Step 2- Activity Inventory'!D451)</f>
        <v/>
      </c>
      <c r="H448" s="90"/>
      <c r="I448" s="24"/>
      <c r="J448" s="24"/>
      <c r="K448" s="91"/>
      <c r="L448" s="92" t="str">
        <f>IF(OR('Step 2- Activity Inventory'!O451=6,AND('Step 2- Activity Inventory'!O451=5,E448="Genius")),'Step 1- Hrly Rate Calc'!$D$18,"")</f>
        <v/>
      </c>
      <c r="M448" s="93" t="str">
        <f t="shared" si="18"/>
        <v/>
      </c>
      <c r="N448" s="93" t="str">
        <f>IF(L448="","",IF(IFERROR((G448/60)*M448*2*'Step 1- Hrly Rate Calc'!$D$14,"")&lt;0,"N/A",IFERROR((G448/60)*M448*2*'Step 1- Hrly Rate Calc'!$D$14,"")))</f>
        <v/>
      </c>
      <c r="O448" s="77" t="str">
        <f t="shared" si="19"/>
        <v/>
      </c>
      <c r="P448" s="77" t="str">
        <f t="shared" si="20"/>
        <v/>
      </c>
    </row>
    <row r="449" spans="2:16" s="61" customFormat="1" ht="34" customHeight="1" x14ac:dyDescent="0.2">
      <c r="B449" s="77" t="str">
        <f>IF('Step 2- Activity Inventory'!B452="","",'Step 2- Activity Inventory'!B452)</f>
        <v/>
      </c>
      <c r="C449" s="77" t="str">
        <f>IF('Step 2- Activity Inventory'!C452="","",'Step 2- Activity Inventory'!C452)</f>
        <v/>
      </c>
      <c r="D449" s="88" t="str">
        <f>IF('Step 2- Activity Inventory'!E452="","",'Step 2- Activity Inventory'!E452)</f>
        <v/>
      </c>
      <c r="E449" s="88" t="str">
        <f>IF('Step 2- Activity Inventory'!F452="","",'Step 2- Activity Inventory'!F452)</f>
        <v/>
      </c>
      <c r="F449" s="88" t="str">
        <f>IF(E449="Genius","N/A",IF('Step 2- Activity Inventory'!G452="","",'Step 2- Activity Inventory'!G452))</f>
        <v/>
      </c>
      <c r="G449" s="89" t="str">
        <f>IF('Step 2- Activity Inventory'!D452="","",'Step 2- Activity Inventory'!D452)</f>
        <v/>
      </c>
      <c r="H449" s="90"/>
      <c r="I449" s="24"/>
      <c r="J449" s="24"/>
      <c r="K449" s="91"/>
      <c r="L449" s="92" t="str">
        <f>IF(OR('Step 2- Activity Inventory'!O452=6,AND('Step 2- Activity Inventory'!O452=5,E449="Genius")),'Step 1- Hrly Rate Calc'!$D$18,"")</f>
        <v/>
      </c>
      <c r="M449" s="93" t="str">
        <f t="shared" si="18"/>
        <v/>
      </c>
      <c r="N449" s="93" t="str">
        <f>IF(L449="","",IF(IFERROR((G449/60)*M449*2*'Step 1- Hrly Rate Calc'!$D$14,"")&lt;0,"N/A",IFERROR((G449/60)*M449*2*'Step 1- Hrly Rate Calc'!$D$14,"")))</f>
        <v/>
      </c>
      <c r="O449" s="77" t="str">
        <f t="shared" si="19"/>
        <v/>
      </c>
      <c r="P449" s="77" t="str">
        <f t="shared" si="20"/>
        <v/>
      </c>
    </row>
    <row r="450" spans="2:16" s="61" customFormat="1" ht="34" customHeight="1" x14ac:dyDescent="0.2">
      <c r="B450" s="77" t="str">
        <f>IF('Step 2- Activity Inventory'!B453="","",'Step 2- Activity Inventory'!B453)</f>
        <v/>
      </c>
      <c r="C450" s="77" t="str">
        <f>IF('Step 2- Activity Inventory'!C453="","",'Step 2- Activity Inventory'!C453)</f>
        <v/>
      </c>
      <c r="D450" s="88" t="str">
        <f>IF('Step 2- Activity Inventory'!E453="","",'Step 2- Activity Inventory'!E453)</f>
        <v/>
      </c>
      <c r="E450" s="88" t="str">
        <f>IF('Step 2- Activity Inventory'!F453="","",'Step 2- Activity Inventory'!F453)</f>
        <v/>
      </c>
      <c r="F450" s="88" t="str">
        <f>IF(E450="Genius","N/A",IF('Step 2- Activity Inventory'!G453="","",'Step 2- Activity Inventory'!G453))</f>
        <v/>
      </c>
      <c r="G450" s="89" t="str">
        <f>IF('Step 2- Activity Inventory'!D453="","",'Step 2- Activity Inventory'!D453)</f>
        <v/>
      </c>
      <c r="H450" s="90"/>
      <c r="I450" s="24"/>
      <c r="J450" s="24"/>
      <c r="K450" s="91"/>
      <c r="L450" s="92" t="str">
        <f>IF(OR('Step 2- Activity Inventory'!O453=6,AND('Step 2- Activity Inventory'!O453=5,E450="Genius")),'Step 1- Hrly Rate Calc'!$D$18,"")</f>
        <v/>
      </c>
      <c r="M450" s="93" t="str">
        <f t="shared" si="18"/>
        <v/>
      </c>
      <c r="N450" s="93" t="str">
        <f>IF(L450="","",IF(IFERROR((G450/60)*M450*2*'Step 1- Hrly Rate Calc'!$D$14,"")&lt;0,"N/A",IFERROR((G450/60)*M450*2*'Step 1- Hrly Rate Calc'!$D$14,"")))</f>
        <v/>
      </c>
      <c r="O450" s="77" t="str">
        <f t="shared" si="19"/>
        <v/>
      </c>
      <c r="P450" s="77" t="str">
        <f t="shared" si="20"/>
        <v/>
      </c>
    </row>
    <row r="451" spans="2:16" s="61" customFormat="1" ht="34" customHeight="1" x14ac:dyDescent="0.2">
      <c r="B451" s="77" t="str">
        <f>IF('Step 2- Activity Inventory'!B454="","",'Step 2- Activity Inventory'!B454)</f>
        <v/>
      </c>
      <c r="C451" s="77" t="str">
        <f>IF('Step 2- Activity Inventory'!C454="","",'Step 2- Activity Inventory'!C454)</f>
        <v/>
      </c>
      <c r="D451" s="88" t="str">
        <f>IF('Step 2- Activity Inventory'!E454="","",'Step 2- Activity Inventory'!E454)</f>
        <v/>
      </c>
      <c r="E451" s="88" t="str">
        <f>IF('Step 2- Activity Inventory'!F454="","",'Step 2- Activity Inventory'!F454)</f>
        <v/>
      </c>
      <c r="F451" s="88" t="str">
        <f>IF(E451="Genius","N/A",IF('Step 2- Activity Inventory'!G454="","",'Step 2- Activity Inventory'!G454))</f>
        <v/>
      </c>
      <c r="G451" s="89" t="str">
        <f>IF('Step 2- Activity Inventory'!D454="","",'Step 2- Activity Inventory'!D454)</f>
        <v/>
      </c>
      <c r="H451" s="90"/>
      <c r="I451" s="24"/>
      <c r="J451" s="24"/>
      <c r="K451" s="91"/>
      <c r="L451" s="92" t="str">
        <f>IF(OR('Step 2- Activity Inventory'!O454=6,AND('Step 2- Activity Inventory'!O454=5,E451="Genius")),'Step 1- Hrly Rate Calc'!$D$18,"")</f>
        <v/>
      </c>
      <c r="M451" s="93" t="str">
        <f t="shared" si="18"/>
        <v/>
      </c>
      <c r="N451" s="93" t="str">
        <f>IF(L451="","",IF(IFERROR((G451/60)*M451*2*'Step 1- Hrly Rate Calc'!$D$14,"")&lt;0,"N/A",IFERROR((G451/60)*M451*2*'Step 1- Hrly Rate Calc'!$D$14,"")))</f>
        <v/>
      </c>
      <c r="O451" s="77" t="str">
        <f t="shared" si="19"/>
        <v/>
      </c>
      <c r="P451" s="77" t="str">
        <f t="shared" si="20"/>
        <v/>
      </c>
    </row>
    <row r="452" spans="2:16" s="61" customFormat="1" ht="34" customHeight="1" x14ac:dyDescent="0.2">
      <c r="B452" s="77" t="str">
        <f>IF('Step 2- Activity Inventory'!B455="","",'Step 2- Activity Inventory'!B455)</f>
        <v/>
      </c>
      <c r="C452" s="77" t="str">
        <f>IF('Step 2- Activity Inventory'!C455="","",'Step 2- Activity Inventory'!C455)</f>
        <v/>
      </c>
      <c r="D452" s="88" t="str">
        <f>IF('Step 2- Activity Inventory'!E455="","",'Step 2- Activity Inventory'!E455)</f>
        <v/>
      </c>
      <c r="E452" s="88" t="str">
        <f>IF('Step 2- Activity Inventory'!F455="","",'Step 2- Activity Inventory'!F455)</f>
        <v/>
      </c>
      <c r="F452" s="88" t="str">
        <f>IF(E452="Genius","N/A",IF('Step 2- Activity Inventory'!G455="","",'Step 2- Activity Inventory'!G455))</f>
        <v/>
      </c>
      <c r="G452" s="89" t="str">
        <f>IF('Step 2- Activity Inventory'!D455="","",'Step 2- Activity Inventory'!D455)</f>
        <v/>
      </c>
      <c r="H452" s="90"/>
      <c r="I452" s="24"/>
      <c r="J452" s="24"/>
      <c r="K452" s="91"/>
      <c r="L452" s="92" t="str">
        <f>IF(OR('Step 2- Activity Inventory'!O455=6,AND('Step 2- Activity Inventory'!O455=5,E452="Genius")),'Step 1- Hrly Rate Calc'!$D$18,"")</f>
        <v/>
      </c>
      <c r="M452" s="93" t="str">
        <f t="shared" si="18"/>
        <v/>
      </c>
      <c r="N452" s="93" t="str">
        <f>IF(L452="","",IF(IFERROR((G452/60)*M452*2*'Step 1- Hrly Rate Calc'!$D$14,"")&lt;0,"N/A",IFERROR((G452/60)*M452*2*'Step 1- Hrly Rate Calc'!$D$14,"")))</f>
        <v/>
      </c>
      <c r="O452" s="77" t="str">
        <f t="shared" si="19"/>
        <v/>
      </c>
      <c r="P452" s="77" t="str">
        <f t="shared" si="20"/>
        <v/>
      </c>
    </row>
    <row r="453" spans="2:16" s="61" customFormat="1" ht="34" customHeight="1" x14ac:dyDescent="0.2">
      <c r="B453" s="77" t="str">
        <f>IF('Step 2- Activity Inventory'!B456="","",'Step 2- Activity Inventory'!B456)</f>
        <v/>
      </c>
      <c r="C453" s="77" t="str">
        <f>IF('Step 2- Activity Inventory'!C456="","",'Step 2- Activity Inventory'!C456)</f>
        <v/>
      </c>
      <c r="D453" s="88" t="str">
        <f>IF('Step 2- Activity Inventory'!E456="","",'Step 2- Activity Inventory'!E456)</f>
        <v/>
      </c>
      <c r="E453" s="88" t="str">
        <f>IF('Step 2- Activity Inventory'!F456="","",'Step 2- Activity Inventory'!F456)</f>
        <v/>
      </c>
      <c r="F453" s="88" t="str">
        <f>IF(E453="Genius","N/A",IF('Step 2- Activity Inventory'!G456="","",'Step 2- Activity Inventory'!G456))</f>
        <v/>
      </c>
      <c r="G453" s="89" t="str">
        <f>IF('Step 2- Activity Inventory'!D456="","",'Step 2- Activity Inventory'!D456)</f>
        <v/>
      </c>
      <c r="H453" s="90"/>
      <c r="I453" s="24"/>
      <c r="J453" s="24"/>
      <c r="K453" s="91"/>
      <c r="L453" s="92" t="str">
        <f>IF(OR('Step 2- Activity Inventory'!O456=6,AND('Step 2- Activity Inventory'!O456=5,E453="Genius")),'Step 1- Hrly Rate Calc'!$D$18,"")</f>
        <v/>
      </c>
      <c r="M453" s="93" t="str">
        <f t="shared" si="18"/>
        <v/>
      </c>
      <c r="N453" s="93" t="str">
        <f>IF(L453="","",IF(IFERROR((G453/60)*M453*2*'Step 1- Hrly Rate Calc'!$D$14,"")&lt;0,"N/A",IFERROR((G453/60)*M453*2*'Step 1- Hrly Rate Calc'!$D$14,"")))</f>
        <v/>
      </c>
      <c r="O453" s="77" t="str">
        <f t="shared" si="19"/>
        <v/>
      </c>
      <c r="P453" s="77" t="str">
        <f t="shared" si="20"/>
        <v/>
      </c>
    </row>
    <row r="454" spans="2:16" s="61" customFormat="1" ht="34" customHeight="1" x14ac:dyDescent="0.2">
      <c r="B454" s="77" t="str">
        <f>IF('Step 2- Activity Inventory'!B457="","",'Step 2- Activity Inventory'!B457)</f>
        <v/>
      </c>
      <c r="C454" s="77" t="str">
        <f>IF('Step 2- Activity Inventory'!C457="","",'Step 2- Activity Inventory'!C457)</f>
        <v/>
      </c>
      <c r="D454" s="88" t="str">
        <f>IF('Step 2- Activity Inventory'!E457="","",'Step 2- Activity Inventory'!E457)</f>
        <v/>
      </c>
      <c r="E454" s="88" t="str">
        <f>IF('Step 2- Activity Inventory'!F457="","",'Step 2- Activity Inventory'!F457)</f>
        <v/>
      </c>
      <c r="F454" s="88" t="str">
        <f>IF(E454="Genius","N/A",IF('Step 2- Activity Inventory'!G457="","",'Step 2- Activity Inventory'!G457))</f>
        <v/>
      </c>
      <c r="G454" s="89" t="str">
        <f>IF('Step 2- Activity Inventory'!D457="","",'Step 2- Activity Inventory'!D457)</f>
        <v/>
      </c>
      <c r="H454" s="90"/>
      <c r="I454" s="24"/>
      <c r="J454" s="24"/>
      <c r="K454" s="91"/>
      <c r="L454" s="92" t="str">
        <f>IF(OR('Step 2- Activity Inventory'!O457=6,AND('Step 2- Activity Inventory'!O457=5,E454="Genius")),'Step 1- Hrly Rate Calc'!$D$18,"")</f>
        <v/>
      </c>
      <c r="M454" s="93" t="str">
        <f t="shared" si="18"/>
        <v/>
      </c>
      <c r="N454" s="93" t="str">
        <f>IF(L454="","",IF(IFERROR((G454/60)*M454*2*'Step 1- Hrly Rate Calc'!$D$14,"")&lt;0,"N/A",IFERROR((G454/60)*M454*2*'Step 1- Hrly Rate Calc'!$D$14,"")))</f>
        <v/>
      </c>
      <c r="O454" s="77" t="str">
        <f t="shared" si="19"/>
        <v/>
      </c>
      <c r="P454" s="77" t="str">
        <f t="shared" si="20"/>
        <v/>
      </c>
    </row>
    <row r="455" spans="2:16" s="61" customFormat="1" ht="34" customHeight="1" x14ac:dyDescent="0.2">
      <c r="B455" s="77" t="str">
        <f>IF('Step 2- Activity Inventory'!B458="","",'Step 2- Activity Inventory'!B458)</f>
        <v/>
      </c>
      <c r="C455" s="77" t="str">
        <f>IF('Step 2- Activity Inventory'!C458="","",'Step 2- Activity Inventory'!C458)</f>
        <v/>
      </c>
      <c r="D455" s="88" t="str">
        <f>IF('Step 2- Activity Inventory'!E458="","",'Step 2- Activity Inventory'!E458)</f>
        <v/>
      </c>
      <c r="E455" s="88" t="str">
        <f>IF('Step 2- Activity Inventory'!F458="","",'Step 2- Activity Inventory'!F458)</f>
        <v/>
      </c>
      <c r="F455" s="88" t="str">
        <f>IF(E455="Genius","N/A",IF('Step 2- Activity Inventory'!G458="","",'Step 2- Activity Inventory'!G458))</f>
        <v/>
      </c>
      <c r="G455" s="89" t="str">
        <f>IF('Step 2- Activity Inventory'!D458="","",'Step 2- Activity Inventory'!D458)</f>
        <v/>
      </c>
      <c r="H455" s="90"/>
      <c r="I455" s="24"/>
      <c r="J455" s="24"/>
      <c r="K455" s="91"/>
      <c r="L455" s="92" t="str">
        <f>IF(OR('Step 2- Activity Inventory'!O458=6,AND('Step 2- Activity Inventory'!O458=5,E455="Genius")),'Step 1- Hrly Rate Calc'!$D$18,"")</f>
        <v/>
      </c>
      <c r="M455" s="93" t="str">
        <f t="shared" si="18"/>
        <v/>
      </c>
      <c r="N455" s="93" t="str">
        <f>IF(L455="","",IF(IFERROR((G455/60)*M455*2*'Step 1- Hrly Rate Calc'!$D$14,"")&lt;0,"N/A",IFERROR((G455/60)*M455*2*'Step 1- Hrly Rate Calc'!$D$14,"")))</f>
        <v/>
      </c>
      <c r="O455" s="77" t="str">
        <f t="shared" si="19"/>
        <v/>
      </c>
      <c r="P455" s="77" t="str">
        <f t="shared" si="20"/>
        <v/>
      </c>
    </row>
    <row r="456" spans="2:16" s="61" customFormat="1" ht="34" customHeight="1" x14ac:dyDescent="0.2">
      <c r="B456" s="77" t="str">
        <f>IF('Step 2- Activity Inventory'!B459="","",'Step 2- Activity Inventory'!B459)</f>
        <v/>
      </c>
      <c r="C456" s="77" t="str">
        <f>IF('Step 2- Activity Inventory'!C459="","",'Step 2- Activity Inventory'!C459)</f>
        <v/>
      </c>
      <c r="D456" s="88" t="str">
        <f>IF('Step 2- Activity Inventory'!E459="","",'Step 2- Activity Inventory'!E459)</f>
        <v/>
      </c>
      <c r="E456" s="88" t="str">
        <f>IF('Step 2- Activity Inventory'!F459="","",'Step 2- Activity Inventory'!F459)</f>
        <v/>
      </c>
      <c r="F456" s="88" t="str">
        <f>IF(E456="Genius","N/A",IF('Step 2- Activity Inventory'!G459="","",'Step 2- Activity Inventory'!G459))</f>
        <v/>
      </c>
      <c r="G456" s="89" t="str">
        <f>IF('Step 2- Activity Inventory'!D459="","",'Step 2- Activity Inventory'!D459)</f>
        <v/>
      </c>
      <c r="H456" s="90"/>
      <c r="I456" s="24"/>
      <c r="J456" s="24"/>
      <c r="K456" s="91"/>
      <c r="L456" s="92" t="str">
        <f>IF(OR('Step 2- Activity Inventory'!O459=6,AND('Step 2- Activity Inventory'!O459=5,E456="Genius")),'Step 1- Hrly Rate Calc'!$D$18,"")</f>
        <v/>
      </c>
      <c r="M456" s="93" t="str">
        <f t="shared" si="18"/>
        <v/>
      </c>
      <c r="N456" s="93" t="str">
        <f>IF(L456="","",IF(IFERROR((G456/60)*M456*2*'Step 1- Hrly Rate Calc'!$D$14,"")&lt;0,"N/A",IFERROR((G456/60)*M456*2*'Step 1- Hrly Rate Calc'!$D$14,"")))</f>
        <v/>
      </c>
      <c r="O456" s="77" t="str">
        <f t="shared" si="19"/>
        <v/>
      </c>
      <c r="P456" s="77" t="str">
        <f t="shared" si="20"/>
        <v/>
      </c>
    </row>
    <row r="457" spans="2:16" s="61" customFormat="1" ht="34" customHeight="1" x14ac:dyDescent="0.2">
      <c r="B457" s="77" t="str">
        <f>IF('Step 2- Activity Inventory'!B460="","",'Step 2- Activity Inventory'!B460)</f>
        <v/>
      </c>
      <c r="C457" s="77" t="str">
        <f>IF('Step 2- Activity Inventory'!C460="","",'Step 2- Activity Inventory'!C460)</f>
        <v/>
      </c>
      <c r="D457" s="88" t="str">
        <f>IF('Step 2- Activity Inventory'!E460="","",'Step 2- Activity Inventory'!E460)</f>
        <v/>
      </c>
      <c r="E457" s="88" t="str">
        <f>IF('Step 2- Activity Inventory'!F460="","",'Step 2- Activity Inventory'!F460)</f>
        <v/>
      </c>
      <c r="F457" s="88" t="str">
        <f>IF(E457="Genius","N/A",IF('Step 2- Activity Inventory'!G460="","",'Step 2- Activity Inventory'!G460))</f>
        <v/>
      </c>
      <c r="G457" s="89" t="str">
        <f>IF('Step 2- Activity Inventory'!D460="","",'Step 2- Activity Inventory'!D460)</f>
        <v/>
      </c>
      <c r="H457" s="90"/>
      <c r="I457" s="24"/>
      <c r="J457" s="24"/>
      <c r="K457" s="91"/>
      <c r="L457" s="92" t="str">
        <f>IF(OR('Step 2- Activity Inventory'!O460=6,AND('Step 2- Activity Inventory'!O460=5,E457="Genius")),'Step 1- Hrly Rate Calc'!$D$18,"")</f>
        <v/>
      </c>
      <c r="M457" s="93" t="str">
        <f t="shared" ref="M457:M500" si="21">IF(B457="","",IFERROR(K457-L457,""))</f>
        <v/>
      </c>
      <c r="N457" s="93" t="str">
        <f>IF(L457="","",IF(IFERROR((G457/60)*M457*2*'Step 1- Hrly Rate Calc'!$D$14,"")&lt;0,"N/A",IFERROR((G457/60)*M457*2*'Step 1- Hrly Rate Calc'!$D$14,"")))</f>
        <v/>
      </c>
      <c r="O457" s="77" t="str">
        <f t="shared" ref="O457:O500" si="22">IF(E457="Genius","KEEP DOING",IF(L457="","",IF(K457&gt;(L457*0.75),"KEEP DOING","STOP DOING")))</f>
        <v/>
      </c>
      <c r="P457" s="77" t="str">
        <f t="shared" ref="P457:P500" si="23">IF(L457="","",IF(O457="STOP DOING",IF(J457="Yes","Ready to Stop Doing","Not Ready"),"N/A"))</f>
        <v/>
      </c>
    </row>
    <row r="458" spans="2:16" s="61" customFormat="1" ht="34" customHeight="1" x14ac:dyDescent="0.2">
      <c r="B458" s="77" t="str">
        <f>IF('Step 2- Activity Inventory'!B461="","",'Step 2- Activity Inventory'!B461)</f>
        <v/>
      </c>
      <c r="C458" s="77" t="str">
        <f>IF('Step 2- Activity Inventory'!C461="","",'Step 2- Activity Inventory'!C461)</f>
        <v/>
      </c>
      <c r="D458" s="88" t="str">
        <f>IF('Step 2- Activity Inventory'!E461="","",'Step 2- Activity Inventory'!E461)</f>
        <v/>
      </c>
      <c r="E458" s="88" t="str">
        <f>IF('Step 2- Activity Inventory'!F461="","",'Step 2- Activity Inventory'!F461)</f>
        <v/>
      </c>
      <c r="F458" s="88" t="str">
        <f>IF(E458="Genius","N/A",IF('Step 2- Activity Inventory'!G461="","",'Step 2- Activity Inventory'!G461))</f>
        <v/>
      </c>
      <c r="G458" s="89" t="str">
        <f>IF('Step 2- Activity Inventory'!D461="","",'Step 2- Activity Inventory'!D461)</f>
        <v/>
      </c>
      <c r="H458" s="90"/>
      <c r="I458" s="24"/>
      <c r="J458" s="24"/>
      <c r="K458" s="91"/>
      <c r="L458" s="92" t="str">
        <f>IF(OR('Step 2- Activity Inventory'!O461=6,AND('Step 2- Activity Inventory'!O461=5,E458="Genius")),'Step 1- Hrly Rate Calc'!$D$18,"")</f>
        <v/>
      </c>
      <c r="M458" s="93" t="str">
        <f t="shared" si="21"/>
        <v/>
      </c>
      <c r="N458" s="93" t="str">
        <f>IF(L458="","",IF(IFERROR((G458/60)*M458*2*'Step 1- Hrly Rate Calc'!$D$14,"")&lt;0,"N/A",IFERROR((G458/60)*M458*2*'Step 1- Hrly Rate Calc'!$D$14,"")))</f>
        <v/>
      </c>
      <c r="O458" s="77" t="str">
        <f t="shared" si="22"/>
        <v/>
      </c>
      <c r="P458" s="77" t="str">
        <f t="shared" si="23"/>
        <v/>
      </c>
    </row>
    <row r="459" spans="2:16" s="61" customFormat="1" ht="34" customHeight="1" x14ac:dyDescent="0.2">
      <c r="B459" s="77" t="str">
        <f>IF('Step 2- Activity Inventory'!B462="","",'Step 2- Activity Inventory'!B462)</f>
        <v/>
      </c>
      <c r="C459" s="77" t="str">
        <f>IF('Step 2- Activity Inventory'!C462="","",'Step 2- Activity Inventory'!C462)</f>
        <v/>
      </c>
      <c r="D459" s="88" t="str">
        <f>IF('Step 2- Activity Inventory'!E462="","",'Step 2- Activity Inventory'!E462)</f>
        <v/>
      </c>
      <c r="E459" s="88" t="str">
        <f>IF('Step 2- Activity Inventory'!F462="","",'Step 2- Activity Inventory'!F462)</f>
        <v/>
      </c>
      <c r="F459" s="88" t="str">
        <f>IF(E459="Genius","N/A",IF('Step 2- Activity Inventory'!G462="","",'Step 2- Activity Inventory'!G462))</f>
        <v/>
      </c>
      <c r="G459" s="89" t="str">
        <f>IF('Step 2- Activity Inventory'!D462="","",'Step 2- Activity Inventory'!D462)</f>
        <v/>
      </c>
      <c r="H459" s="90"/>
      <c r="I459" s="24"/>
      <c r="J459" s="24"/>
      <c r="K459" s="91"/>
      <c r="L459" s="92" t="str">
        <f>IF(OR('Step 2- Activity Inventory'!O462=6,AND('Step 2- Activity Inventory'!O462=5,E459="Genius")),'Step 1- Hrly Rate Calc'!$D$18,"")</f>
        <v/>
      </c>
      <c r="M459" s="93" t="str">
        <f t="shared" si="21"/>
        <v/>
      </c>
      <c r="N459" s="93" t="str">
        <f>IF(L459="","",IF(IFERROR((G459/60)*M459*2*'Step 1- Hrly Rate Calc'!$D$14,"")&lt;0,"N/A",IFERROR((G459/60)*M459*2*'Step 1- Hrly Rate Calc'!$D$14,"")))</f>
        <v/>
      </c>
      <c r="O459" s="77" t="str">
        <f t="shared" si="22"/>
        <v/>
      </c>
      <c r="P459" s="77" t="str">
        <f t="shared" si="23"/>
        <v/>
      </c>
    </row>
    <row r="460" spans="2:16" s="61" customFormat="1" ht="34" customHeight="1" x14ac:dyDescent="0.2">
      <c r="B460" s="77" t="str">
        <f>IF('Step 2- Activity Inventory'!B463="","",'Step 2- Activity Inventory'!B463)</f>
        <v/>
      </c>
      <c r="C460" s="77" t="str">
        <f>IF('Step 2- Activity Inventory'!C463="","",'Step 2- Activity Inventory'!C463)</f>
        <v/>
      </c>
      <c r="D460" s="88" t="str">
        <f>IF('Step 2- Activity Inventory'!E463="","",'Step 2- Activity Inventory'!E463)</f>
        <v/>
      </c>
      <c r="E460" s="88" t="str">
        <f>IF('Step 2- Activity Inventory'!F463="","",'Step 2- Activity Inventory'!F463)</f>
        <v/>
      </c>
      <c r="F460" s="88" t="str">
        <f>IF(E460="Genius","N/A",IF('Step 2- Activity Inventory'!G463="","",'Step 2- Activity Inventory'!G463))</f>
        <v/>
      </c>
      <c r="G460" s="89" t="str">
        <f>IF('Step 2- Activity Inventory'!D463="","",'Step 2- Activity Inventory'!D463)</f>
        <v/>
      </c>
      <c r="H460" s="90"/>
      <c r="I460" s="24"/>
      <c r="J460" s="24"/>
      <c r="K460" s="91"/>
      <c r="L460" s="92" t="str">
        <f>IF(OR('Step 2- Activity Inventory'!O463=6,AND('Step 2- Activity Inventory'!O463=5,E460="Genius")),'Step 1- Hrly Rate Calc'!$D$18,"")</f>
        <v/>
      </c>
      <c r="M460" s="93" t="str">
        <f t="shared" si="21"/>
        <v/>
      </c>
      <c r="N460" s="93" t="str">
        <f>IF(L460="","",IF(IFERROR((G460/60)*M460*2*'Step 1- Hrly Rate Calc'!$D$14,"")&lt;0,"N/A",IFERROR((G460/60)*M460*2*'Step 1- Hrly Rate Calc'!$D$14,"")))</f>
        <v/>
      </c>
      <c r="O460" s="77" t="str">
        <f t="shared" si="22"/>
        <v/>
      </c>
      <c r="P460" s="77" t="str">
        <f t="shared" si="23"/>
        <v/>
      </c>
    </row>
    <row r="461" spans="2:16" s="61" customFormat="1" ht="34" customHeight="1" x14ac:dyDescent="0.2">
      <c r="B461" s="77" t="str">
        <f>IF('Step 2- Activity Inventory'!B464="","",'Step 2- Activity Inventory'!B464)</f>
        <v/>
      </c>
      <c r="C461" s="77" t="str">
        <f>IF('Step 2- Activity Inventory'!C464="","",'Step 2- Activity Inventory'!C464)</f>
        <v/>
      </c>
      <c r="D461" s="88" t="str">
        <f>IF('Step 2- Activity Inventory'!E464="","",'Step 2- Activity Inventory'!E464)</f>
        <v/>
      </c>
      <c r="E461" s="88" t="str">
        <f>IF('Step 2- Activity Inventory'!F464="","",'Step 2- Activity Inventory'!F464)</f>
        <v/>
      </c>
      <c r="F461" s="88" t="str">
        <f>IF(E461="Genius","N/A",IF('Step 2- Activity Inventory'!G464="","",'Step 2- Activity Inventory'!G464))</f>
        <v/>
      </c>
      <c r="G461" s="89" t="str">
        <f>IF('Step 2- Activity Inventory'!D464="","",'Step 2- Activity Inventory'!D464)</f>
        <v/>
      </c>
      <c r="H461" s="90"/>
      <c r="I461" s="24"/>
      <c r="J461" s="24"/>
      <c r="K461" s="91"/>
      <c r="L461" s="92" t="str">
        <f>IF(OR('Step 2- Activity Inventory'!O464=6,AND('Step 2- Activity Inventory'!O464=5,E461="Genius")),'Step 1- Hrly Rate Calc'!$D$18,"")</f>
        <v/>
      </c>
      <c r="M461" s="93" t="str">
        <f t="shared" si="21"/>
        <v/>
      </c>
      <c r="N461" s="93" t="str">
        <f>IF(L461="","",IF(IFERROR((G461/60)*M461*2*'Step 1- Hrly Rate Calc'!$D$14,"")&lt;0,"N/A",IFERROR((G461/60)*M461*2*'Step 1- Hrly Rate Calc'!$D$14,"")))</f>
        <v/>
      </c>
      <c r="O461" s="77" t="str">
        <f t="shared" si="22"/>
        <v/>
      </c>
      <c r="P461" s="77" t="str">
        <f t="shared" si="23"/>
        <v/>
      </c>
    </row>
    <row r="462" spans="2:16" s="61" customFormat="1" ht="34" customHeight="1" x14ac:dyDescent="0.2">
      <c r="B462" s="77" t="str">
        <f>IF('Step 2- Activity Inventory'!B465="","",'Step 2- Activity Inventory'!B465)</f>
        <v/>
      </c>
      <c r="C462" s="77" t="str">
        <f>IF('Step 2- Activity Inventory'!C465="","",'Step 2- Activity Inventory'!C465)</f>
        <v/>
      </c>
      <c r="D462" s="88" t="str">
        <f>IF('Step 2- Activity Inventory'!E465="","",'Step 2- Activity Inventory'!E465)</f>
        <v/>
      </c>
      <c r="E462" s="88" t="str">
        <f>IF('Step 2- Activity Inventory'!F465="","",'Step 2- Activity Inventory'!F465)</f>
        <v/>
      </c>
      <c r="F462" s="88" t="str">
        <f>IF(E462="Genius","N/A",IF('Step 2- Activity Inventory'!G465="","",'Step 2- Activity Inventory'!G465))</f>
        <v/>
      </c>
      <c r="G462" s="89" t="str">
        <f>IF('Step 2- Activity Inventory'!D465="","",'Step 2- Activity Inventory'!D465)</f>
        <v/>
      </c>
      <c r="H462" s="90"/>
      <c r="I462" s="24"/>
      <c r="J462" s="24"/>
      <c r="K462" s="91"/>
      <c r="L462" s="92" t="str">
        <f>IF(OR('Step 2- Activity Inventory'!O465=6,AND('Step 2- Activity Inventory'!O465=5,E462="Genius")),'Step 1- Hrly Rate Calc'!$D$18,"")</f>
        <v/>
      </c>
      <c r="M462" s="93" t="str">
        <f t="shared" si="21"/>
        <v/>
      </c>
      <c r="N462" s="93" t="str">
        <f>IF(L462="","",IF(IFERROR((G462/60)*M462*2*'Step 1- Hrly Rate Calc'!$D$14,"")&lt;0,"N/A",IFERROR((G462/60)*M462*2*'Step 1- Hrly Rate Calc'!$D$14,"")))</f>
        <v/>
      </c>
      <c r="O462" s="77" t="str">
        <f t="shared" si="22"/>
        <v/>
      </c>
      <c r="P462" s="77" t="str">
        <f t="shared" si="23"/>
        <v/>
      </c>
    </row>
    <row r="463" spans="2:16" s="61" customFormat="1" ht="34" customHeight="1" x14ac:dyDescent="0.2">
      <c r="B463" s="77" t="str">
        <f>IF('Step 2- Activity Inventory'!B466="","",'Step 2- Activity Inventory'!B466)</f>
        <v/>
      </c>
      <c r="C463" s="77" t="str">
        <f>IF('Step 2- Activity Inventory'!C466="","",'Step 2- Activity Inventory'!C466)</f>
        <v/>
      </c>
      <c r="D463" s="88" t="str">
        <f>IF('Step 2- Activity Inventory'!E466="","",'Step 2- Activity Inventory'!E466)</f>
        <v/>
      </c>
      <c r="E463" s="88" t="str">
        <f>IF('Step 2- Activity Inventory'!F466="","",'Step 2- Activity Inventory'!F466)</f>
        <v/>
      </c>
      <c r="F463" s="88" t="str">
        <f>IF(E463="Genius","N/A",IF('Step 2- Activity Inventory'!G466="","",'Step 2- Activity Inventory'!G466))</f>
        <v/>
      </c>
      <c r="G463" s="89" t="str">
        <f>IF('Step 2- Activity Inventory'!D466="","",'Step 2- Activity Inventory'!D466)</f>
        <v/>
      </c>
      <c r="H463" s="90"/>
      <c r="I463" s="24"/>
      <c r="J463" s="24"/>
      <c r="K463" s="91"/>
      <c r="L463" s="92" t="str">
        <f>IF(OR('Step 2- Activity Inventory'!O466=6,AND('Step 2- Activity Inventory'!O466=5,E463="Genius")),'Step 1- Hrly Rate Calc'!$D$18,"")</f>
        <v/>
      </c>
      <c r="M463" s="93" t="str">
        <f t="shared" si="21"/>
        <v/>
      </c>
      <c r="N463" s="93" t="str">
        <f>IF(L463="","",IF(IFERROR((G463/60)*M463*2*'Step 1- Hrly Rate Calc'!$D$14,"")&lt;0,"N/A",IFERROR((G463/60)*M463*2*'Step 1- Hrly Rate Calc'!$D$14,"")))</f>
        <v/>
      </c>
      <c r="O463" s="77" t="str">
        <f t="shared" si="22"/>
        <v/>
      </c>
      <c r="P463" s="77" t="str">
        <f t="shared" si="23"/>
        <v/>
      </c>
    </row>
    <row r="464" spans="2:16" s="61" customFormat="1" ht="34" customHeight="1" x14ac:dyDescent="0.2">
      <c r="B464" s="77" t="str">
        <f>IF('Step 2- Activity Inventory'!B467="","",'Step 2- Activity Inventory'!B467)</f>
        <v/>
      </c>
      <c r="C464" s="77" t="str">
        <f>IF('Step 2- Activity Inventory'!C467="","",'Step 2- Activity Inventory'!C467)</f>
        <v/>
      </c>
      <c r="D464" s="88" t="str">
        <f>IF('Step 2- Activity Inventory'!E467="","",'Step 2- Activity Inventory'!E467)</f>
        <v/>
      </c>
      <c r="E464" s="88" t="str">
        <f>IF('Step 2- Activity Inventory'!F467="","",'Step 2- Activity Inventory'!F467)</f>
        <v/>
      </c>
      <c r="F464" s="88" t="str">
        <f>IF(E464="Genius","N/A",IF('Step 2- Activity Inventory'!G467="","",'Step 2- Activity Inventory'!G467))</f>
        <v/>
      </c>
      <c r="G464" s="89" t="str">
        <f>IF('Step 2- Activity Inventory'!D467="","",'Step 2- Activity Inventory'!D467)</f>
        <v/>
      </c>
      <c r="H464" s="90"/>
      <c r="I464" s="24"/>
      <c r="J464" s="24"/>
      <c r="K464" s="91"/>
      <c r="L464" s="92" t="str">
        <f>IF(OR('Step 2- Activity Inventory'!O467=6,AND('Step 2- Activity Inventory'!O467=5,E464="Genius")),'Step 1- Hrly Rate Calc'!$D$18,"")</f>
        <v/>
      </c>
      <c r="M464" s="93" t="str">
        <f t="shared" si="21"/>
        <v/>
      </c>
      <c r="N464" s="93" t="str">
        <f>IF(L464="","",IF(IFERROR((G464/60)*M464*2*'Step 1- Hrly Rate Calc'!$D$14,"")&lt;0,"N/A",IFERROR((G464/60)*M464*2*'Step 1- Hrly Rate Calc'!$D$14,"")))</f>
        <v/>
      </c>
      <c r="O464" s="77" t="str">
        <f t="shared" si="22"/>
        <v/>
      </c>
      <c r="P464" s="77" t="str">
        <f t="shared" si="23"/>
        <v/>
      </c>
    </row>
    <row r="465" spans="2:16" s="61" customFormat="1" ht="34" customHeight="1" x14ac:dyDescent="0.2">
      <c r="B465" s="77" t="str">
        <f>IF('Step 2- Activity Inventory'!B468="","",'Step 2- Activity Inventory'!B468)</f>
        <v/>
      </c>
      <c r="C465" s="77" t="str">
        <f>IF('Step 2- Activity Inventory'!C468="","",'Step 2- Activity Inventory'!C468)</f>
        <v/>
      </c>
      <c r="D465" s="88" t="str">
        <f>IF('Step 2- Activity Inventory'!E468="","",'Step 2- Activity Inventory'!E468)</f>
        <v/>
      </c>
      <c r="E465" s="88" t="str">
        <f>IF('Step 2- Activity Inventory'!F468="","",'Step 2- Activity Inventory'!F468)</f>
        <v/>
      </c>
      <c r="F465" s="88" t="str">
        <f>IF(E465="Genius","N/A",IF('Step 2- Activity Inventory'!G468="","",'Step 2- Activity Inventory'!G468))</f>
        <v/>
      </c>
      <c r="G465" s="89" t="str">
        <f>IF('Step 2- Activity Inventory'!D468="","",'Step 2- Activity Inventory'!D468)</f>
        <v/>
      </c>
      <c r="H465" s="90"/>
      <c r="I465" s="24"/>
      <c r="J465" s="24"/>
      <c r="K465" s="91"/>
      <c r="L465" s="92" t="str">
        <f>IF(OR('Step 2- Activity Inventory'!O468=6,AND('Step 2- Activity Inventory'!O468=5,E465="Genius")),'Step 1- Hrly Rate Calc'!$D$18,"")</f>
        <v/>
      </c>
      <c r="M465" s="93" t="str">
        <f t="shared" si="21"/>
        <v/>
      </c>
      <c r="N465" s="93" t="str">
        <f>IF(L465="","",IF(IFERROR((G465/60)*M465*2*'Step 1- Hrly Rate Calc'!$D$14,"")&lt;0,"N/A",IFERROR((G465/60)*M465*2*'Step 1- Hrly Rate Calc'!$D$14,"")))</f>
        <v/>
      </c>
      <c r="O465" s="77" t="str">
        <f t="shared" si="22"/>
        <v/>
      </c>
      <c r="P465" s="77" t="str">
        <f t="shared" si="23"/>
        <v/>
      </c>
    </row>
    <row r="466" spans="2:16" s="61" customFormat="1" ht="34" customHeight="1" x14ac:dyDescent="0.2">
      <c r="B466" s="77" t="str">
        <f>IF('Step 2- Activity Inventory'!B469="","",'Step 2- Activity Inventory'!B469)</f>
        <v/>
      </c>
      <c r="C466" s="77" t="str">
        <f>IF('Step 2- Activity Inventory'!C469="","",'Step 2- Activity Inventory'!C469)</f>
        <v/>
      </c>
      <c r="D466" s="88" t="str">
        <f>IF('Step 2- Activity Inventory'!E469="","",'Step 2- Activity Inventory'!E469)</f>
        <v/>
      </c>
      <c r="E466" s="88" t="str">
        <f>IF('Step 2- Activity Inventory'!F469="","",'Step 2- Activity Inventory'!F469)</f>
        <v/>
      </c>
      <c r="F466" s="88" t="str">
        <f>IF(E466="Genius","N/A",IF('Step 2- Activity Inventory'!G469="","",'Step 2- Activity Inventory'!G469))</f>
        <v/>
      </c>
      <c r="G466" s="89" t="str">
        <f>IF('Step 2- Activity Inventory'!D469="","",'Step 2- Activity Inventory'!D469)</f>
        <v/>
      </c>
      <c r="H466" s="90"/>
      <c r="I466" s="24"/>
      <c r="J466" s="24"/>
      <c r="K466" s="91"/>
      <c r="L466" s="92" t="str">
        <f>IF(OR('Step 2- Activity Inventory'!O469=6,AND('Step 2- Activity Inventory'!O469=5,E466="Genius")),'Step 1- Hrly Rate Calc'!$D$18,"")</f>
        <v/>
      </c>
      <c r="M466" s="93" t="str">
        <f t="shared" si="21"/>
        <v/>
      </c>
      <c r="N466" s="93" t="str">
        <f>IF(L466="","",IF(IFERROR((G466/60)*M466*2*'Step 1- Hrly Rate Calc'!$D$14,"")&lt;0,"N/A",IFERROR((G466/60)*M466*2*'Step 1- Hrly Rate Calc'!$D$14,"")))</f>
        <v/>
      </c>
      <c r="O466" s="77" t="str">
        <f t="shared" si="22"/>
        <v/>
      </c>
      <c r="P466" s="77" t="str">
        <f t="shared" si="23"/>
        <v/>
      </c>
    </row>
    <row r="467" spans="2:16" s="61" customFormat="1" ht="34" customHeight="1" x14ac:dyDescent="0.2">
      <c r="B467" s="77" t="str">
        <f>IF('Step 2- Activity Inventory'!B470="","",'Step 2- Activity Inventory'!B470)</f>
        <v/>
      </c>
      <c r="C467" s="77" t="str">
        <f>IF('Step 2- Activity Inventory'!C470="","",'Step 2- Activity Inventory'!C470)</f>
        <v/>
      </c>
      <c r="D467" s="88" t="str">
        <f>IF('Step 2- Activity Inventory'!E470="","",'Step 2- Activity Inventory'!E470)</f>
        <v/>
      </c>
      <c r="E467" s="88" t="str">
        <f>IF('Step 2- Activity Inventory'!F470="","",'Step 2- Activity Inventory'!F470)</f>
        <v/>
      </c>
      <c r="F467" s="88" t="str">
        <f>IF(E467="Genius","N/A",IF('Step 2- Activity Inventory'!G470="","",'Step 2- Activity Inventory'!G470))</f>
        <v/>
      </c>
      <c r="G467" s="89" t="str">
        <f>IF('Step 2- Activity Inventory'!D470="","",'Step 2- Activity Inventory'!D470)</f>
        <v/>
      </c>
      <c r="H467" s="90"/>
      <c r="I467" s="24"/>
      <c r="J467" s="24"/>
      <c r="K467" s="91"/>
      <c r="L467" s="92" t="str">
        <f>IF(OR('Step 2- Activity Inventory'!O470=6,AND('Step 2- Activity Inventory'!O470=5,E467="Genius")),'Step 1- Hrly Rate Calc'!$D$18,"")</f>
        <v/>
      </c>
      <c r="M467" s="93" t="str">
        <f t="shared" si="21"/>
        <v/>
      </c>
      <c r="N467" s="93" t="str">
        <f>IF(L467="","",IF(IFERROR((G467/60)*M467*2*'Step 1- Hrly Rate Calc'!$D$14,"")&lt;0,"N/A",IFERROR((G467/60)*M467*2*'Step 1- Hrly Rate Calc'!$D$14,"")))</f>
        <v/>
      </c>
      <c r="O467" s="77" t="str">
        <f t="shared" si="22"/>
        <v/>
      </c>
      <c r="P467" s="77" t="str">
        <f t="shared" si="23"/>
        <v/>
      </c>
    </row>
    <row r="468" spans="2:16" s="61" customFormat="1" ht="34" customHeight="1" x14ac:dyDescent="0.2">
      <c r="B468" s="77" t="str">
        <f>IF('Step 2- Activity Inventory'!B471="","",'Step 2- Activity Inventory'!B471)</f>
        <v/>
      </c>
      <c r="C468" s="77" t="str">
        <f>IF('Step 2- Activity Inventory'!C471="","",'Step 2- Activity Inventory'!C471)</f>
        <v/>
      </c>
      <c r="D468" s="88" t="str">
        <f>IF('Step 2- Activity Inventory'!E471="","",'Step 2- Activity Inventory'!E471)</f>
        <v/>
      </c>
      <c r="E468" s="88" t="str">
        <f>IF('Step 2- Activity Inventory'!F471="","",'Step 2- Activity Inventory'!F471)</f>
        <v/>
      </c>
      <c r="F468" s="88" t="str">
        <f>IF(E468="Genius","N/A",IF('Step 2- Activity Inventory'!G471="","",'Step 2- Activity Inventory'!G471))</f>
        <v/>
      </c>
      <c r="G468" s="89" t="str">
        <f>IF('Step 2- Activity Inventory'!D471="","",'Step 2- Activity Inventory'!D471)</f>
        <v/>
      </c>
      <c r="H468" s="90"/>
      <c r="I468" s="24"/>
      <c r="J468" s="24"/>
      <c r="K468" s="91"/>
      <c r="L468" s="92" t="str">
        <f>IF(OR('Step 2- Activity Inventory'!O471=6,AND('Step 2- Activity Inventory'!O471=5,E468="Genius")),'Step 1- Hrly Rate Calc'!$D$18,"")</f>
        <v/>
      </c>
      <c r="M468" s="93" t="str">
        <f t="shared" si="21"/>
        <v/>
      </c>
      <c r="N468" s="93" t="str">
        <f>IF(L468="","",IF(IFERROR((G468/60)*M468*2*'Step 1- Hrly Rate Calc'!$D$14,"")&lt;0,"N/A",IFERROR((G468/60)*M468*2*'Step 1- Hrly Rate Calc'!$D$14,"")))</f>
        <v/>
      </c>
      <c r="O468" s="77" t="str">
        <f t="shared" si="22"/>
        <v/>
      </c>
      <c r="P468" s="77" t="str">
        <f t="shared" si="23"/>
        <v/>
      </c>
    </row>
    <row r="469" spans="2:16" s="61" customFormat="1" ht="34" customHeight="1" x14ac:dyDescent="0.2">
      <c r="B469" s="77" t="str">
        <f>IF('Step 2- Activity Inventory'!B472="","",'Step 2- Activity Inventory'!B472)</f>
        <v/>
      </c>
      <c r="C469" s="77" t="str">
        <f>IF('Step 2- Activity Inventory'!C472="","",'Step 2- Activity Inventory'!C472)</f>
        <v/>
      </c>
      <c r="D469" s="88" t="str">
        <f>IF('Step 2- Activity Inventory'!E472="","",'Step 2- Activity Inventory'!E472)</f>
        <v/>
      </c>
      <c r="E469" s="88" t="str">
        <f>IF('Step 2- Activity Inventory'!F472="","",'Step 2- Activity Inventory'!F472)</f>
        <v/>
      </c>
      <c r="F469" s="88" t="str">
        <f>IF(E469="Genius","N/A",IF('Step 2- Activity Inventory'!G472="","",'Step 2- Activity Inventory'!G472))</f>
        <v/>
      </c>
      <c r="G469" s="89" t="str">
        <f>IF('Step 2- Activity Inventory'!D472="","",'Step 2- Activity Inventory'!D472)</f>
        <v/>
      </c>
      <c r="H469" s="90"/>
      <c r="I469" s="24"/>
      <c r="J469" s="24"/>
      <c r="K469" s="91"/>
      <c r="L469" s="92" t="str">
        <f>IF(OR('Step 2- Activity Inventory'!O472=6,AND('Step 2- Activity Inventory'!O472=5,E469="Genius")),'Step 1- Hrly Rate Calc'!$D$18,"")</f>
        <v/>
      </c>
      <c r="M469" s="93" t="str">
        <f t="shared" si="21"/>
        <v/>
      </c>
      <c r="N469" s="93" t="str">
        <f>IF(L469="","",IF(IFERROR((G469/60)*M469*2*'Step 1- Hrly Rate Calc'!$D$14,"")&lt;0,"N/A",IFERROR((G469/60)*M469*2*'Step 1- Hrly Rate Calc'!$D$14,"")))</f>
        <v/>
      </c>
      <c r="O469" s="77" t="str">
        <f t="shared" si="22"/>
        <v/>
      </c>
      <c r="P469" s="77" t="str">
        <f t="shared" si="23"/>
        <v/>
      </c>
    </row>
    <row r="470" spans="2:16" s="61" customFormat="1" ht="34" customHeight="1" x14ac:dyDescent="0.2">
      <c r="B470" s="77" t="str">
        <f>IF('Step 2- Activity Inventory'!B473="","",'Step 2- Activity Inventory'!B473)</f>
        <v/>
      </c>
      <c r="C470" s="77" t="str">
        <f>IF('Step 2- Activity Inventory'!C473="","",'Step 2- Activity Inventory'!C473)</f>
        <v/>
      </c>
      <c r="D470" s="88" t="str">
        <f>IF('Step 2- Activity Inventory'!E473="","",'Step 2- Activity Inventory'!E473)</f>
        <v/>
      </c>
      <c r="E470" s="88" t="str">
        <f>IF('Step 2- Activity Inventory'!F473="","",'Step 2- Activity Inventory'!F473)</f>
        <v/>
      </c>
      <c r="F470" s="88" t="str">
        <f>IF(E470="Genius","N/A",IF('Step 2- Activity Inventory'!G473="","",'Step 2- Activity Inventory'!G473))</f>
        <v/>
      </c>
      <c r="G470" s="89" t="str">
        <f>IF('Step 2- Activity Inventory'!D473="","",'Step 2- Activity Inventory'!D473)</f>
        <v/>
      </c>
      <c r="H470" s="90"/>
      <c r="I470" s="24"/>
      <c r="J470" s="24"/>
      <c r="K470" s="91"/>
      <c r="L470" s="92" t="str">
        <f>IF(OR('Step 2- Activity Inventory'!O473=6,AND('Step 2- Activity Inventory'!O473=5,E470="Genius")),'Step 1- Hrly Rate Calc'!$D$18,"")</f>
        <v/>
      </c>
      <c r="M470" s="93" t="str">
        <f t="shared" si="21"/>
        <v/>
      </c>
      <c r="N470" s="93" t="str">
        <f>IF(L470="","",IF(IFERROR((G470/60)*M470*2*'Step 1- Hrly Rate Calc'!$D$14,"")&lt;0,"N/A",IFERROR((G470/60)*M470*2*'Step 1- Hrly Rate Calc'!$D$14,"")))</f>
        <v/>
      </c>
      <c r="O470" s="77" t="str">
        <f t="shared" si="22"/>
        <v/>
      </c>
      <c r="P470" s="77" t="str">
        <f t="shared" si="23"/>
        <v/>
      </c>
    </row>
    <row r="471" spans="2:16" s="61" customFormat="1" ht="34" customHeight="1" x14ac:dyDescent="0.2">
      <c r="B471" s="77" t="str">
        <f>IF('Step 2- Activity Inventory'!B474="","",'Step 2- Activity Inventory'!B474)</f>
        <v/>
      </c>
      <c r="C471" s="77" t="str">
        <f>IF('Step 2- Activity Inventory'!C474="","",'Step 2- Activity Inventory'!C474)</f>
        <v/>
      </c>
      <c r="D471" s="88" t="str">
        <f>IF('Step 2- Activity Inventory'!E474="","",'Step 2- Activity Inventory'!E474)</f>
        <v/>
      </c>
      <c r="E471" s="88" t="str">
        <f>IF('Step 2- Activity Inventory'!F474="","",'Step 2- Activity Inventory'!F474)</f>
        <v/>
      </c>
      <c r="F471" s="88" t="str">
        <f>IF(E471="Genius","N/A",IF('Step 2- Activity Inventory'!G474="","",'Step 2- Activity Inventory'!G474))</f>
        <v/>
      </c>
      <c r="G471" s="89" t="str">
        <f>IF('Step 2- Activity Inventory'!D474="","",'Step 2- Activity Inventory'!D474)</f>
        <v/>
      </c>
      <c r="H471" s="90"/>
      <c r="I471" s="24"/>
      <c r="J471" s="24"/>
      <c r="K471" s="91"/>
      <c r="L471" s="92" t="str">
        <f>IF(OR('Step 2- Activity Inventory'!O474=6,AND('Step 2- Activity Inventory'!O474=5,E471="Genius")),'Step 1- Hrly Rate Calc'!$D$18,"")</f>
        <v/>
      </c>
      <c r="M471" s="93" t="str">
        <f t="shared" si="21"/>
        <v/>
      </c>
      <c r="N471" s="93" t="str">
        <f>IF(L471="","",IF(IFERROR((G471/60)*M471*2*'Step 1- Hrly Rate Calc'!$D$14,"")&lt;0,"N/A",IFERROR((G471/60)*M471*2*'Step 1- Hrly Rate Calc'!$D$14,"")))</f>
        <v/>
      </c>
      <c r="O471" s="77" t="str">
        <f t="shared" si="22"/>
        <v/>
      </c>
      <c r="P471" s="77" t="str">
        <f t="shared" si="23"/>
        <v/>
      </c>
    </row>
    <row r="472" spans="2:16" s="61" customFormat="1" ht="34" customHeight="1" x14ac:dyDescent="0.2">
      <c r="B472" s="77" t="str">
        <f>IF('Step 2- Activity Inventory'!B475="","",'Step 2- Activity Inventory'!B475)</f>
        <v/>
      </c>
      <c r="C472" s="77" t="str">
        <f>IF('Step 2- Activity Inventory'!C475="","",'Step 2- Activity Inventory'!C475)</f>
        <v/>
      </c>
      <c r="D472" s="88" t="str">
        <f>IF('Step 2- Activity Inventory'!E475="","",'Step 2- Activity Inventory'!E475)</f>
        <v/>
      </c>
      <c r="E472" s="88" t="str">
        <f>IF('Step 2- Activity Inventory'!F475="","",'Step 2- Activity Inventory'!F475)</f>
        <v/>
      </c>
      <c r="F472" s="88" t="str">
        <f>IF(E472="Genius","N/A",IF('Step 2- Activity Inventory'!G475="","",'Step 2- Activity Inventory'!G475))</f>
        <v/>
      </c>
      <c r="G472" s="89" t="str">
        <f>IF('Step 2- Activity Inventory'!D475="","",'Step 2- Activity Inventory'!D475)</f>
        <v/>
      </c>
      <c r="H472" s="90"/>
      <c r="I472" s="24"/>
      <c r="J472" s="24"/>
      <c r="K472" s="91"/>
      <c r="L472" s="92" t="str">
        <f>IF(OR('Step 2- Activity Inventory'!O475=6,AND('Step 2- Activity Inventory'!O475=5,E472="Genius")),'Step 1- Hrly Rate Calc'!$D$18,"")</f>
        <v/>
      </c>
      <c r="M472" s="93" t="str">
        <f t="shared" si="21"/>
        <v/>
      </c>
      <c r="N472" s="93" t="str">
        <f>IF(L472="","",IF(IFERROR((G472/60)*M472*2*'Step 1- Hrly Rate Calc'!$D$14,"")&lt;0,"N/A",IFERROR((G472/60)*M472*2*'Step 1- Hrly Rate Calc'!$D$14,"")))</f>
        <v/>
      </c>
      <c r="O472" s="77" t="str">
        <f t="shared" si="22"/>
        <v/>
      </c>
      <c r="P472" s="77" t="str">
        <f t="shared" si="23"/>
        <v/>
      </c>
    </row>
    <row r="473" spans="2:16" s="61" customFormat="1" ht="34" customHeight="1" x14ac:dyDescent="0.2">
      <c r="B473" s="77" t="str">
        <f>IF('Step 2- Activity Inventory'!B476="","",'Step 2- Activity Inventory'!B476)</f>
        <v/>
      </c>
      <c r="C473" s="77" t="str">
        <f>IF('Step 2- Activity Inventory'!C476="","",'Step 2- Activity Inventory'!C476)</f>
        <v/>
      </c>
      <c r="D473" s="88" t="str">
        <f>IF('Step 2- Activity Inventory'!E476="","",'Step 2- Activity Inventory'!E476)</f>
        <v/>
      </c>
      <c r="E473" s="88" t="str">
        <f>IF('Step 2- Activity Inventory'!F476="","",'Step 2- Activity Inventory'!F476)</f>
        <v/>
      </c>
      <c r="F473" s="88" t="str">
        <f>IF(E473="Genius","N/A",IF('Step 2- Activity Inventory'!G476="","",'Step 2- Activity Inventory'!G476))</f>
        <v/>
      </c>
      <c r="G473" s="89" t="str">
        <f>IF('Step 2- Activity Inventory'!D476="","",'Step 2- Activity Inventory'!D476)</f>
        <v/>
      </c>
      <c r="H473" s="90"/>
      <c r="I473" s="24"/>
      <c r="J473" s="24"/>
      <c r="K473" s="91"/>
      <c r="L473" s="92" t="str">
        <f>IF(OR('Step 2- Activity Inventory'!O476=6,AND('Step 2- Activity Inventory'!O476=5,E473="Genius")),'Step 1- Hrly Rate Calc'!$D$18,"")</f>
        <v/>
      </c>
      <c r="M473" s="93" t="str">
        <f t="shared" si="21"/>
        <v/>
      </c>
      <c r="N473" s="93" t="str">
        <f>IF(L473="","",IF(IFERROR((G473/60)*M473*2*'Step 1- Hrly Rate Calc'!$D$14,"")&lt;0,"N/A",IFERROR((G473/60)*M473*2*'Step 1- Hrly Rate Calc'!$D$14,"")))</f>
        <v/>
      </c>
      <c r="O473" s="77" t="str">
        <f t="shared" si="22"/>
        <v/>
      </c>
      <c r="P473" s="77" t="str">
        <f t="shared" si="23"/>
        <v/>
      </c>
    </row>
    <row r="474" spans="2:16" s="61" customFormat="1" ht="34" customHeight="1" x14ac:dyDescent="0.2">
      <c r="B474" s="77" t="str">
        <f>IF('Step 2- Activity Inventory'!B477="","",'Step 2- Activity Inventory'!B477)</f>
        <v/>
      </c>
      <c r="C474" s="77" t="str">
        <f>IF('Step 2- Activity Inventory'!C477="","",'Step 2- Activity Inventory'!C477)</f>
        <v/>
      </c>
      <c r="D474" s="88" t="str">
        <f>IF('Step 2- Activity Inventory'!E477="","",'Step 2- Activity Inventory'!E477)</f>
        <v/>
      </c>
      <c r="E474" s="88" t="str">
        <f>IF('Step 2- Activity Inventory'!F477="","",'Step 2- Activity Inventory'!F477)</f>
        <v/>
      </c>
      <c r="F474" s="88" t="str">
        <f>IF(E474="Genius","N/A",IF('Step 2- Activity Inventory'!G477="","",'Step 2- Activity Inventory'!G477))</f>
        <v/>
      </c>
      <c r="G474" s="89" t="str">
        <f>IF('Step 2- Activity Inventory'!D477="","",'Step 2- Activity Inventory'!D477)</f>
        <v/>
      </c>
      <c r="H474" s="90"/>
      <c r="I474" s="24"/>
      <c r="J474" s="24"/>
      <c r="K474" s="91"/>
      <c r="L474" s="92" t="str">
        <f>IF(OR('Step 2- Activity Inventory'!O477=6,AND('Step 2- Activity Inventory'!O477=5,E474="Genius")),'Step 1- Hrly Rate Calc'!$D$18,"")</f>
        <v/>
      </c>
      <c r="M474" s="93" t="str">
        <f t="shared" si="21"/>
        <v/>
      </c>
      <c r="N474" s="93" t="str">
        <f>IF(L474="","",IF(IFERROR((G474/60)*M474*2*'Step 1- Hrly Rate Calc'!$D$14,"")&lt;0,"N/A",IFERROR((G474/60)*M474*2*'Step 1- Hrly Rate Calc'!$D$14,"")))</f>
        <v/>
      </c>
      <c r="O474" s="77" t="str">
        <f t="shared" si="22"/>
        <v/>
      </c>
      <c r="P474" s="77" t="str">
        <f t="shared" si="23"/>
        <v/>
      </c>
    </row>
    <row r="475" spans="2:16" s="61" customFormat="1" ht="34" customHeight="1" x14ac:dyDescent="0.2">
      <c r="B475" s="77" t="str">
        <f>IF('Step 2- Activity Inventory'!B478="","",'Step 2- Activity Inventory'!B478)</f>
        <v/>
      </c>
      <c r="C475" s="77" t="str">
        <f>IF('Step 2- Activity Inventory'!C478="","",'Step 2- Activity Inventory'!C478)</f>
        <v/>
      </c>
      <c r="D475" s="88" t="str">
        <f>IF('Step 2- Activity Inventory'!E478="","",'Step 2- Activity Inventory'!E478)</f>
        <v/>
      </c>
      <c r="E475" s="88" t="str">
        <f>IF('Step 2- Activity Inventory'!F478="","",'Step 2- Activity Inventory'!F478)</f>
        <v/>
      </c>
      <c r="F475" s="88" t="str">
        <f>IF(E475="Genius","N/A",IF('Step 2- Activity Inventory'!G478="","",'Step 2- Activity Inventory'!G478))</f>
        <v/>
      </c>
      <c r="G475" s="89" t="str">
        <f>IF('Step 2- Activity Inventory'!D478="","",'Step 2- Activity Inventory'!D478)</f>
        <v/>
      </c>
      <c r="H475" s="90"/>
      <c r="I475" s="24"/>
      <c r="J475" s="24"/>
      <c r="K475" s="91"/>
      <c r="L475" s="92" t="str">
        <f>IF(OR('Step 2- Activity Inventory'!O478=6,AND('Step 2- Activity Inventory'!O478=5,E475="Genius")),'Step 1- Hrly Rate Calc'!$D$18,"")</f>
        <v/>
      </c>
      <c r="M475" s="93" t="str">
        <f t="shared" si="21"/>
        <v/>
      </c>
      <c r="N475" s="93" t="str">
        <f>IF(L475="","",IF(IFERROR((G475/60)*M475*2*'Step 1- Hrly Rate Calc'!$D$14,"")&lt;0,"N/A",IFERROR((G475/60)*M475*2*'Step 1- Hrly Rate Calc'!$D$14,"")))</f>
        <v/>
      </c>
      <c r="O475" s="77" t="str">
        <f t="shared" si="22"/>
        <v/>
      </c>
      <c r="P475" s="77" t="str">
        <f t="shared" si="23"/>
        <v/>
      </c>
    </row>
    <row r="476" spans="2:16" s="61" customFormat="1" ht="34" customHeight="1" x14ac:dyDescent="0.2">
      <c r="B476" s="77" t="str">
        <f>IF('Step 2- Activity Inventory'!B479="","",'Step 2- Activity Inventory'!B479)</f>
        <v/>
      </c>
      <c r="C476" s="77" t="str">
        <f>IF('Step 2- Activity Inventory'!C479="","",'Step 2- Activity Inventory'!C479)</f>
        <v/>
      </c>
      <c r="D476" s="88" t="str">
        <f>IF('Step 2- Activity Inventory'!E479="","",'Step 2- Activity Inventory'!E479)</f>
        <v/>
      </c>
      <c r="E476" s="88" t="str">
        <f>IF('Step 2- Activity Inventory'!F479="","",'Step 2- Activity Inventory'!F479)</f>
        <v/>
      </c>
      <c r="F476" s="88" t="str">
        <f>IF(E476="Genius","N/A",IF('Step 2- Activity Inventory'!G479="","",'Step 2- Activity Inventory'!G479))</f>
        <v/>
      </c>
      <c r="G476" s="89" t="str">
        <f>IF('Step 2- Activity Inventory'!D479="","",'Step 2- Activity Inventory'!D479)</f>
        <v/>
      </c>
      <c r="H476" s="90"/>
      <c r="I476" s="24"/>
      <c r="J476" s="24"/>
      <c r="K476" s="91"/>
      <c r="L476" s="92" t="str">
        <f>IF(OR('Step 2- Activity Inventory'!O479=6,AND('Step 2- Activity Inventory'!O479=5,E476="Genius")),'Step 1- Hrly Rate Calc'!$D$18,"")</f>
        <v/>
      </c>
      <c r="M476" s="93" t="str">
        <f t="shared" si="21"/>
        <v/>
      </c>
      <c r="N476" s="93" t="str">
        <f>IF(L476="","",IF(IFERROR((G476/60)*M476*2*'Step 1- Hrly Rate Calc'!$D$14,"")&lt;0,"N/A",IFERROR((G476/60)*M476*2*'Step 1- Hrly Rate Calc'!$D$14,"")))</f>
        <v/>
      </c>
      <c r="O476" s="77" t="str">
        <f t="shared" si="22"/>
        <v/>
      </c>
      <c r="P476" s="77" t="str">
        <f t="shared" si="23"/>
        <v/>
      </c>
    </row>
    <row r="477" spans="2:16" s="61" customFormat="1" ht="34" customHeight="1" x14ac:dyDescent="0.2">
      <c r="B477" s="77" t="str">
        <f>IF('Step 2- Activity Inventory'!B480="","",'Step 2- Activity Inventory'!B480)</f>
        <v/>
      </c>
      <c r="C477" s="77" t="str">
        <f>IF('Step 2- Activity Inventory'!C480="","",'Step 2- Activity Inventory'!C480)</f>
        <v/>
      </c>
      <c r="D477" s="88" t="str">
        <f>IF('Step 2- Activity Inventory'!E480="","",'Step 2- Activity Inventory'!E480)</f>
        <v/>
      </c>
      <c r="E477" s="88" t="str">
        <f>IF('Step 2- Activity Inventory'!F480="","",'Step 2- Activity Inventory'!F480)</f>
        <v/>
      </c>
      <c r="F477" s="88" t="str">
        <f>IF(E477="Genius","N/A",IF('Step 2- Activity Inventory'!G480="","",'Step 2- Activity Inventory'!G480))</f>
        <v/>
      </c>
      <c r="G477" s="89" t="str">
        <f>IF('Step 2- Activity Inventory'!D480="","",'Step 2- Activity Inventory'!D480)</f>
        <v/>
      </c>
      <c r="H477" s="90"/>
      <c r="I477" s="24"/>
      <c r="J477" s="24"/>
      <c r="K477" s="91"/>
      <c r="L477" s="92" t="str">
        <f>IF(OR('Step 2- Activity Inventory'!O480=6,AND('Step 2- Activity Inventory'!O480=5,E477="Genius")),'Step 1- Hrly Rate Calc'!$D$18,"")</f>
        <v/>
      </c>
      <c r="M477" s="93" t="str">
        <f t="shared" si="21"/>
        <v/>
      </c>
      <c r="N477" s="93" t="str">
        <f>IF(L477="","",IF(IFERROR((G477/60)*M477*2*'Step 1- Hrly Rate Calc'!$D$14,"")&lt;0,"N/A",IFERROR((G477/60)*M477*2*'Step 1- Hrly Rate Calc'!$D$14,"")))</f>
        <v/>
      </c>
      <c r="O477" s="77" t="str">
        <f t="shared" si="22"/>
        <v/>
      </c>
      <c r="P477" s="77" t="str">
        <f t="shared" si="23"/>
        <v/>
      </c>
    </row>
    <row r="478" spans="2:16" s="61" customFormat="1" ht="34" customHeight="1" x14ac:dyDescent="0.2">
      <c r="B478" s="77" t="str">
        <f>IF('Step 2- Activity Inventory'!B481="","",'Step 2- Activity Inventory'!B481)</f>
        <v/>
      </c>
      <c r="C478" s="77" t="str">
        <f>IF('Step 2- Activity Inventory'!C481="","",'Step 2- Activity Inventory'!C481)</f>
        <v/>
      </c>
      <c r="D478" s="88" t="str">
        <f>IF('Step 2- Activity Inventory'!E481="","",'Step 2- Activity Inventory'!E481)</f>
        <v/>
      </c>
      <c r="E478" s="88" t="str">
        <f>IF('Step 2- Activity Inventory'!F481="","",'Step 2- Activity Inventory'!F481)</f>
        <v/>
      </c>
      <c r="F478" s="88" t="str">
        <f>IF(E478="Genius","N/A",IF('Step 2- Activity Inventory'!G481="","",'Step 2- Activity Inventory'!G481))</f>
        <v/>
      </c>
      <c r="G478" s="89" t="str">
        <f>IF('Step 2- Activity Inventory'!D481="","",'Step 2- Activity Inventory'!D481)</f>
        <v/>
      </c>
      <c r="H478" s="90"/>
      <c r="I478" s="24"/>
      <c r="J478" s="24"/>
      <c r="K478" s="91"/>
      <c r="L478" s="92" t="str">
        <f>IF(OR('Step 2- Activity Inventory'!O481=6,AND('Step 2- Activity Inventory'!O481=5,E478="Genius")),'Step 1- Hrly Rate Calc'!$D$18,"")</f>
        <v/>
      </c>
      <c r="M478" s="93" t="str">
        <f t="shared" si="21"/>
        <v/>
      </c>
      <c r="N478" s="93" t="str">
        <f>IF(L478="","",IF(IFERROR((G478/60)*M478*2*'Step 1- Hrly Rate Calc'!$D$14,"")&lt;0,"N/A",IFERROR((G478/60)*M478*2*'Step 1- Hrly Rate Calc'!$D$14,"")))</f>
        <v/>
      </c>
      <c r="O478" s="77" t="str">
        <f t="shared" si="22"/>
        <v/>
      </c>
      <c r="P478" s="77" t="str">
        <f t="shared" si="23"/>
        <v/>
      </c>
    </row>
    <row r="479" spans="2:16" s="61" customFormat="1" ht="34" customHeight="1" x14ac:dyDescent="0.2">
      <c r="B479" s="77" t="str">
        <f>IF('Step 2- Activity Inventory'!B482="","",'Step 2- Activity Inventory'!B482)</f>
        <v/>
      </c>
      <c r="C479" s="77" t="str">
        <f>IF('Step 2- Activity Inventory'!C482="","",'Step 2- Activity Inventory'!C482)</f>
        <v/>
      </c>
      <c r="D479" s="88" t="str">
        <f>IF('Step 2- Activity Inventory'!E482="","",'Step 2- Activity Inventory'!E482)</f>
        <v/>
      </c>
      <c r="E479" s="88" t="str">
        <f>IF('Step 2- Activity Inventory'!F482="","",'Step 2- Activity Inventory'!F482)</f>
        <v/>
      </c>
      <c r="F479" s="88" t="str">
        <f>IF(E479="Genius","N/A",IF('Step 2- Activity Inventory'!G482="","",'Step 2- Activity Inventory'!G482))</f>
        <v/>
      </c>
      <c r="G479" s="89" t="str">
        <f>IF('Step 2- Activity Inventory'!D482="","",'Step 2- Activity Inventory'!D482)</f>
        <v/>
      </c>
      <c r="H479" s="90"/>
      <c r="I479" s="24"/>
      <c r="J479" s="24"/>
      <c r="K479" s="91"/>
      <c r="L479" s="92" t="str">
        <f>IF(OR('Step 2- Activity Inventory'!O482=6,AND('Step 2- Activity Inventory'!O482=5,E479="Genius")),'Step 1- Hrly Rate Calc'!$D$18,"")</f>
        <v/>
      </c>
      <c r="M479" s="93" t="str">
        <f t="shared" si="21"/>
        <v/>
      </c>
      <c r="N479" s="93" t="str">
        <f>IF(L479="","",IF(IFERROR((G479/60)*M479*2*'Step 1- Hrly Rate Calc'!$D$14,"")&lt;0,"N/A",IFERROR((G479/60)*M479*2*'Step 1- Hrly Rate Calc'!$D$14,"")))</f>
        <v/>
      </c>
      <c r="O479" s="77" t="str">
        <f t="shared" si="22"/>
        <v/>
      </c>
      <c r="P479" s="77" t="str">
        <f t="shared" si="23"/>
        <v/>
      </c>
    </row>
    <row r="480" spans="2:16" s="61" customFormat="1" ht="34" customHeight="1" x14ac:dyDescent="0.2">
      <c r="B480" s="77" t="str">
        <f>IF('Step 2- Activity Inventory'!B483="","",'Step 2- Activity Inventory'!B483)</f>
        <v/>
      </c>
      <c r="C480" s="77" t="str">
        <f>IF('Step 2- Activity Inventory'!C483="","",'Step 2- Activity Inventory'!C483)</f>
        <v/>
      </c>
      <c r="D480" s="88" t="str">
        <f>IF('Step 2- Activity Inventory'!E483="","",'Step 2- Activity Inventory'!E483)</f>
        <v/>
      </c>
      <c r="E480" s="88" t="str">
        <f>IF('Step 2- Activity Inventory'!F483="","",'Step 2- Activity Inventory'!F483)</f>
        <v/>
      </c>
      <c r="F480" s="88" t="str">
        <f>IF(E480="Genius","N/A",IF('Step 2- Activity Inventory'!G483="","",'Step 2- Activity Inventory'!G483))</f>
        <v/>
      </c>
      <c r="G480" s="89" t="str">
        <f>IF('Step 2- Activity Inventory'!D483="","",'Step 2- Activity Inventory'!D483)</f>
        <v/>
      </c>
      <c r="H480" s="90"/>
      <c r="I480" s="24"/>
      <c r="J480" s="24"/>
      <c r="K480" s="91"/>
      <c r="L480" s="92" t="str">
        <f>IF(OR('Step 2- Activity Inventory'!O483=6,AND('Step 2- Activity Inventory'!O483=5,E480="Genius")),'Step 1- Hrly Rate Calc'!$D$18,"")</f>
        <v/>
      </c>
      <c r="M480" s="93" t="str">
        <f t="shared" si="21"/>
        <v/>
      </c>
      <c r="N480" s="93" t="str">
        <f>IF(L480="","",IF(IFERROR((G480/60)*M480*2*'Step 1- Hrly Rate Calc'!$D$14,"")&lt;0,"N/A",IFERROR((G480/60)*M480*2*'Step 1- Hrly Rate Calc'!$D$14,"")))</f>
        <v/>
      </c>
      <c r="O480" s="77" t="str">
        <f t="shared" si="22"/>
        <v/>
      </c>
      <c r="P480" s="77" t="str">
        <f t="shared" si="23"/>
        <v/>
      </c>
    </row>
    <row r="481" spans="2:16" s="61" customFormat="1" ht="34" customHeight="1" x14ac:dyDescent="0.2">
      <c r="B481" s="77" t="str">
        <f>IF('Step 2- Activity Inventory'!B484="","",'Step 2- Activity Inventory'!B484)</f>
        <v/>
      </c>
      <c r="C481" s="77" t="str">
        <f>IF('Step 2- Activity Inventory'!C484="","",'Step 2- Activity Inventory'!C484)</f>
        <v/>
      </c>
      <c r="D481" s="88" t="str">
        <f>IF('Step 2- Activity Inventory'!E484="","",'Step 2- Activity Inventory'!E484)</f>
        <v/>
      </c>
      <c r="E481" s="88" t="str">
        <f>IF('Step 2- Activity Inventory'!F484="","",'Step 2- Activity Inventory'!F484)</f>
        <v/>
      </c>
      <c r="F481" s="88" t="str">
        <f>IF(E481="Genius","N/A",IF('Step 2- Activity Inventory'!G484="","",'Step 2- Activity Inventory'!G484))</f>
        <v/>
      </c>
      <c r="G481" s="89" t="str">
        <f>IF('Step 2- Activity Inventory'!D484="","",'Step 2- Activity Inventory'!D484)</f>
        <v/>
      </c>
      <c r="H481" s="90"/>
      <c r="I481" s="24"/>
      <c r="J481" s="24"/>
      <c r="K481" s="91"/>
      <c r="L481" s="92" t="str">
        <f>IF(OR('Step 2- Activity Inventory'!O484=6,AND('Step 2- Activity Inventory'!O484=5,E481="Genius")),'Step 1- Hrly Rate Calc'!$D$18,"")</f>
        <v/>
      </c>
      <c r="M481" s="93" t="str">
        <f t="shared" si="21"/>
        <v/>
      </c>
      <c r="N481" s="93" t="str">
        <f>IF(L481="","",IF(IFERROR((G481/60)*M481*2*'Step 1- Hrly Rate Calc'!$D$14,"")&lt;0,"N/A",IFERROR((G481/60)*M481*2*'Step 1- Hrly Rate Calc'!$D$14,"")))</f>
        <v/>
      </c>
      <c r="O481" s="77" t="str">
        <f t="shared" si="22"/>
        <v/>
      </c>
      <c r="P481" s="77" t="str">
        <f t="shared" si="23"/>
        <v/>
      </c>
    </row>
    <row r="482" spans="2:16" s="61" customFormat="1" ht="34" customHeight="1" x14ac:dyDescent="0.2">
      <c r="B482" s="77" t="str">
        <f>IF('Step 2- Activity Inventory'!B485="","",'Step 2- Activity Inventory'!B485)</f>
        <v/>
      </c>
      <c r="C482" s="77" t="str">
        <f>IF('Step 2- Activity Inventory'!C485="","",'Step 2- Activity Inventory'!C485)</f>
        <v/>
      </c>
      <c r="D482" s="88" t="str">
        <f>IF('Step 2- Activity Inventory'!E485="","",'Step 2- Activity Inventory'!E485)</f>
        <v/>
      </c>
      <c r="E482" s="88" t="str">
        <f>IF('Step 2- Activity Inventory'!F485="","",'Step 2- Activity Inventory'!F485)</f>
        <v/>
      </c>
      <c r="F482" s="88" t="str">
        <f>IF(E482="Genius","N/A",IF('Step 2- Activity Inventory'!G485="","",'Step 2- Activity Inventory'!G485))</f>
        <v/>
      </c>
      <c r="G482" s="89" t="str">
        <f>IF('Step 2- Activity Inventory'!D485="","",'Step 2- Activity Inventory'!D485)</f>
        <v/>
      </c>
      <c r="H482" s="90"/>
      <c r="I482" s="24"/>
      <c r="J482" s="24"/>
      <c r="K482" s="91"/>
      <c r="L482" s="92" t="str">
        <f>IF(OR('Step 2- Activity Inventory'!O485=6,AND('Step 2- Activity Inventory'!O485=5,E482="Genius")),'Step 1- Hrly Rate Calc'!$D$18,"")</f>
        <v/>
      </c>
      <c r="M482" s="93" t="str">
        <f t="shared" si="21"/>
        <v/>
      </c>
      <c r="N482" s="93" t="str">
        <f>IF(L482="","",IF(IFERROR((G482/60)*M482*2*'Step 1- Hrly Rate Calc'!$D$14,"")&lt;0,"N/A",IFERROR((G482/60)*M482*2*'Step 1- Hrly Rate Calc'!$D$14,"")))</f>
        <v/>
      </c>
      <c r="O482" s="77" t="str">
        <f t="shared" si="22"/>
        <v/>
      </c>
      <c r="P482" s="77" t="str">
        <f t="shared" si="23"/>
        <v/>
      </c>
    </row>
    <row r="483" spans="2:16" s="61" customFormat="1" ht="34" customHeight="1" x14ac:dyDescent="0.2">
      <c r="B483" s="77" t="str">
        <f>IF('Step 2- Activity Inventory'!B486="","",'Step 2- Activity Inventory'!B486)</f>
        <v/>
      </c>
      <c r="C483" s="77" t="str">
        <f>IF('Step 2- Activity Inventory'!C486="","",'Step 2- Activity Inventory'!C486)</f>
        <v/>
      </c>
      <c r="D483" s="88" t="str">
        <f>IF('Step 2- Activity Inventory'!E486="","",'Step 2- Activity Inventory'!E486)</f>
        <v/>
      </c>
      <c r="E483" s="88" t="str">
        <f>IF('Step 2- Activity Inventory'!F486="","",'Step 2- Activity Inventory'!F486)</f>
        <v/>
      </c>
      <c r="F483" s="88" t="str">
        <f>IF(E483="Genius","N/A",IF('Step 2- Activity Inventory'!G486="","",'Step 2- Activity Inventory'!G486))</f>
        <v/>
      </c>
      <c r="G483" s="89" t="str">
        <f>IF('Step 2- Activity Inventory'!D486="","",'Step 2- Activity Inventory'!D486)</f>
        <v/>
      </c>
      <c r="H483" s="90"/>
      <c r="I483" s="24"/>
      <c r="J483" s="24"/>
      <c r="K483" s="91"/>
      <c r="L483" s="92" t="str">
        <f>IF(OR('Step 2- Activity Inventory'!O486=6,AND('Step 2- Activity Inventory'!O486=5,E483="Genius")),'Step 1- Hrly Rate Calc'!$D$18,"")</f>
        <v/>
      </c>
      <c r="M483" s="93" t="str">
        <f t="shared" si="21"/>
        <v/>
      </c>
      <c r="N483" s="93" t="str">
        <f>IF(L483="","",IF(IFERROR((G483/60)*M483*2*'Step 1- Hrly Rate Calc'!$D$14,"")&lt;0,"N/A",IFERROR((G483/60)*M483*2*'Step 1- Hrly Rate Calc'!$D$14,"")))</f>
        <v/>
      </c>
      <c r="O483" s="77" t="str">
        <f t="shared" si="22"/>
        <v/>
      </c>
      <c r="P483" s="77" t="str">
        <f t="shared" si="23"/>
        <v/>
      </c>
    </row>
    <row r="484" spans="2:16" s="61" customFormat="1" ht="34" customHeight="1" x14ac:dyDescent="0.2">
      <c r="B484" s="77" t="str">
        <f>IF('Step 2- Activity Inventory'!B487="","",'Step 2- Activity Inventory'!B487)</f>
        <v/>
      </c>
      <c r="C484" s="77" t="str">
        <f>IF('Step 2- Activity Inventory'!C487="","",'Step 2- Activity Inventory'!C487)</f>
        <v/>
      </c>
      <c r="D484" s="88" t="str">
        <f>IF('Step 2- Activity Inventory'!E487="","",'Step 2- Activity Inventory'!E487)</f>
        <v/>
      </c>
      <c r="E484" s="88" t="str">
        <f>IF('Step 2- Activity Inventory'!F487="","",'Step 2- Activity Inventory'!F487)</f>
        <v/>
      </c>
      <c r="F484" s="88" t="str">
        <f>IF(E484="Genius","N/A",IF('Step 2- Activity Inventory'!G487="","",'Step 2- Activity Inventory'!G487))</f>
        <v/>
      </c>
      <c r="G484" s="89" t="str">
        <f>IF('Step 2- Activity Inventory'!D487="","",'Step 2- Activity Inventory'!D487)</f>
        <v/>
      </c>
      <c r="H484" s="90"/>
      <c r="I484" s="24"/>
      <c r="J484" s="24"/>
      <c r="K484" s="91"/>
      <c r="L484" s="92" t="str">
        <f>IF(OR('Step 2- Activity Inventory'!O487=6,AND('Step 2- Activity Inventory'!O487=5,E484="Genius")),'Step 1- Hrly Rate Calc'!$D$18,"")</f>
        <v/>
      </c>
      <c r="M484" s="93" t="str">
        <f t="shared" si="21"/>
        <v/>
      </c>
      <c r="N484" s="93" t="str">
        <f>IF(L484="","",IF(IFERROR((G484/60)*M484*2*'Step 1- Hrly Rate Calc'!$D$14,"")&lt;0,"N/A",IFERROR((G484/60)*M484*2*'Step 1- Hrly Rate Calc'!$D$14,"")))</f>
        <v/>
      </c>
      <c r="O484" s="77" t="str">
        <f t="shared" si="22"/>
        <v/>
      </c>
      <c r="P484" s="77" t="str">
        <f t="shared" si="23"/>
        <v/>
      </c>
    </row>
    <row r="485" spans="2:16" s="61" customFormat="1" ht="34" customHeight="1" x14ac:dyDescent="0.2">
      <c r="B485" s="77" t="str">
        <f>IF('Step 2- Activity Inventory'!B488="","",'Step 2- Activity Inventory'!B488)</f>
        <v/>
      </c>
      <c r="C485" s="77" t="str">
        <f>IF('Step 2- Activity Inventory'!C488="","",'Step 2- Activity Inventory'!C488)</f>
        <v/>
      </c>
      <c r="D485" s="88" t="str">
        <f>IF('Step 2- Activity Inventory'!E488="","",'Step 2- Activity Inventory'!E488)</f>
        <v/>
      </c>
      <c r="E485" s="88" t="str">
        <f>IF('Step 2- Activity Inventory'!F488="","",'Step 2- Activity Inventory'!F488)</f>
        <v/>
      </c>
      <c r="F485" s="88" t="str">
        <f>IF(E485="Genius","N/A",IF('Step 2- Activity Inventory'!G488="","",'Step 2- Activity Inventory'!G488))</f>
        <v/>
      </c>
      <c r="G485" s="89" t="str">
        <f>IF('Step 2- Activity Inventory'!D488="","",'Step 2- Activity Inventory'!D488)</f>
        <v/>
      </c>
      <c r="H485" s="90"/>
      <c r="I485" s="24"/>
      <c r="J485" s="24"/>
      <c r="K485" s="91"/>
      <c r="L485" s="92" t="str">
        <f>IF(OR('Step 2- Activity Inventory'!O488=6,AND('Step 2- Activity Inventory'!O488=5,E485="Genius")),'Step 1- Hrly Rate Calc'!$D$18,"")</f>
        <v/>
      </c>
      <c r="M485" s="93" t="str">
        <f t="shared" si="21"/>
        <v/>
      </c>
      <c r="N485" s="93" t="str">
        <f>IF(L485="","",IF(IFERROR((G485/60)*M485*2*'Step 1- Hrly Rate Calc'!$D$14,"")&lt;0,"N/A",IFERROR((G485/60)*M485*2*'Step 1- Hrly Rate Calc'!$D$14,"")))</f>
        <v/>
      </c>
      <c r="O485" s="77" t="str">
        <f t="shared" si="22"/>
        <v/>
      </c>
      <c r="P485" s="77" t="str">
        <f t="shared" si="23"/>
        <v/>
      </c>
    </row>
    <row r="486" spans="2:16" s="61" customFormat="1" ht="34" customHeight="1" x14ac:dyDescent="0.2">
      <c r="B486" s="77" t="str">
        <f>IF('Step 2- Activity Inventory'!B489="","",'Step 2- Activity Inventory'!B489)</f>
        <v/>
      </c>
      <c r="C486" s="77" t="str">
        <f>IF('Step 2- Activity Inventory'!C489="","",'Step 2- Activity Inventory'!C489)</f>
        <v/>
      </c>
      <c r="D486" s="88" t="str">
        <f>IF('Step 2- Activity Inventory'!E489="","",'Step 2- Activity Inventory'!E489)</f>
        <v/>
      </c>
      <c r="E486" s="88" t="str">
        <f>IF('Step 2- Activity Inventory'!F489="","",'Step 2- Activity Inventory'!F489)</f>
        <v/>
      </c>
      <c r="F486" s="88" t="str">
        <f>IF(E486="Genius","N/A",IF('Step 2- Activity Inventory'!G489="","",'Step 2- Activity Inventory'!G489))</f>
        <v/>
      </c>
      <c r="G486" s="89" t="str">
        <f>IF('Step 2- Activity Inventory'!D489="","",'Step 2- Activity Inventory'!D489)</f>
        <v/>
      </c>
      <c r="H486" s="90"/>
      <c r="I486" s="24"/>
      <c r="J486" s="24"/>
      <c r="K486" s="91"/>
      <c r="L486" s="92" t="str">
        <f>IF(OR('Step 2- Activity Inventory'!O489=6,AND('Step 2- Activity Inventory'!O489=5,E486="Genius")),'Step 1- Hrly Rate Calc'!$D$18,"")</f>
        <v/>
      </c>
      <c r="M486" s="93" t="str">
        <f t="shared" si="21"/>
        <v/>
      </c>
      <c r="N486" s="93" t="str">
        <f>IF(L486="","",IF(IFERROR((G486/60)*M486*2*'Step 1- Hrly Rate Calc'!$D$14,"")&lt;0,"N/A",IFERROR((G486/60)*M486*2*'Step 1- Hrly Rate Calc'!$D$14,"")))</f>
        <v/>
      </c>
      <c r="O486" s="77" t="str">
        <f t="shared" si="22"/>
        <v/>
      </c>
      <c r="P486" s="77" t="str">
        <f t="shared" si="23"/>
        <v/>
      </c>
    </row>
    <row r="487" spans="2:16" s="61" customFormat="1" ht="34" customHeight="1" x14ac:dyDescent="0.2">
      <c r="B487" s="77" t="str">
        <f>IF('Step 2- Activity Inventory'!B490="","",'Step 2- Activity Inventory'!B490)</f>
        <v/>
      </c>
      <c r="C487" s="77" t="str">
        <f>IF('Step 2- Activity Inventory'!C490="","",'Step 2- Activity Inventory'!C490)</f>
        <v/>
      </c>
      <c r="D487" s="88" t="str">
        <f>IF('Step 2- Activity Inventory'!E490="","",'Step 2- Activity Inventory'!E490)</f>
        <v/>
      </c>
      <c r="E487" s="88" t="str">
        <f>IF('Step 2- Activity Inventory'!F490="","",'Step 2- Activity Inventory'!F490)</f>
        <v/>
      </c>
      <c r="F487" s="88" t="str">
        <f>IF(E487="Genius","N/A",IF('Step 2- Activity Inventory'!G490="","",'Step 2- Activity Inventory'!G490))</f>
        <v/>
      </c>
      <c r="G487" s="89" t="str">
        <f>IF('Step 2- Activity Inventory'!D490="","",'Step 2- Activity Inventory'!D490)</f>
        <v/>
      </c>
      <c r="H487" s="90"/>
      <c r="I487" s="24"/>
      <c r="J487" s="24"/>
      <c r="K487" s="91"/>
      <c r="L487" s="92" t="str">
        <f>IF(OR('Step 2- Activity Inventory'!O490=6,AND('Step 2- Activity Inventory'!O490=5,E487="Genius")),'Step 1- Hrly Rate Calc'!$D$18,"")</f>
        <v/>
      </c>
      <c r="M487" s="93" t="str">
        <f t="shared" si="21"/>
        <v/>
      </c>
      <c r="N487" s="93" t="str">
        <f>IF(L487="","",IF(IFERROR((G487/60)*M487*2*'Step 1- Hrly Rate Calc'!$D$14,"")&lt;0,"N/A",IFERROR((G487/60)*M487*2*'Step 1- Hrly Rate Calc'!$D$14,"")))</f>
        <v/>
      </c>
      <c r="O487" s="77" t="str">
        <f t="shared" si="22"/>
        <v/>
      </c>
      <c r="P487" s="77" t="str">
        <f t="shared" si="23"/>
        <v/>
      </c>
    </row>
    <row r="488" spans="2:16" s="61" customFormat="1" ht="34" customHeight="1" x14ac:dyDescent="0.2">
      <c r="B488" s="77" t="str">
        <f>IF('Step 2- Activity Inventory'!B491="","",'Step 2- Activity Inventory'!B491)</f>
        <v/>
      </c>
      <c r="C488" s="77" t="str">
        <f>IF('Step 2- Activity Inventory'!C491="","",'Step 2- Activity Inventory'!C491)</f>
        <v/>
      </c>
      <c r="D488" s="88" t="str">
        <f>IF('Step 2- Activity Inventory'!E491="","",'Step 2- Activity Inventory'!E491)</f>
        <v/>
      </c>
      <c r="E488" s="88" t="str">
        <f>IF('Step 2- Activity Inventory'!F491="","",'Step 2- Activity Inventory'!F491)</f>
        <v/>
      </c>
      <c r="F488" s="88" t="str">
        <f>IF(E488="Genius","N/A",IF('Step 2- Activity Inventory'!G491="","",'Step 2- Activity Inventory'!G491))</f>
        <v/>
      </c>
      <c r="G488" s="89" t="str">
        <f>IF('Step 2- Activity Inventory'!D491="","",'Step 2- Activity Inventory'!D491)</f>
        <v/>
      </c>
      <c r="H488" s="90"/>
      <c r="I488" s="24"/>
      <c r="J488" s="24"/>
      <c r="K488" s="91"/>
      <c r="L488" s="92" t="str">
        <f>IF(OR('Step 2- Activity Inventory'!O491=6,AND('Step 2- Activity Inventory'!O491=5,E488="Genius")),'Step 1- Hrly Rate Calc'!$D$18,"")</f>
        <v/>
      </c>
      <c r="M488" s="93" t="str">
        <f t="shared" si="21"/>
        <v/>
      </c>
      <c r="N488" s="93" t="str">
        <f>IF(L488="","",IF(IFERROR((G488/60)*M488*2*'Step 1- Hrly Rate Calc'!$D$14,"")&lt;0,"N/A",IFERROR((G488/60)*M488*2*'Step 1- Hrly Rate Calc'!$D$14,"")))</f>
        <v/>
      </c>
      <c r="O488" s="77" t="str">
        <f t="shared" si="22"/>
        <v/>
      </c>
      <c r="P488" s="77" t="str">
        <f t="shared" si="23"/>
        <v/>
      </c>
    </row>
    <row r="489" spans="2:16" s="61" customFormat="1" ht="34" customHeight="1" x14ac:dyDescent="0.2">
      <c r="B489" s="77" t="str">
        <f>IF('Step 2- Activity Inventory'!B492="","",'Step 2- Activity Inventory'!B492)</f>
        <v/>
      </c>
      <c r="C489" s="77" t="str">
        <f>IF('Step 2- Activity Inventory'!C492="","",'Step 2- Activity Inventory'!C492)</f>
        <v/>
      </c>
      <c r="D489" s="88" t="str">
        <f>IF('Step 2- Activity Inventory'!E492="","",'Step 2- Activity Inventory'!E492)</f>
        <v/>
      </c>
      <c r="E489" s="88" t="str">
        <f>IF('Step 2- Activity Inventory'!F492="","",'Step 2- Activity Inventory'!F492)</f>
        <v/>
      </c>
      <c r="F489" s="88" t="str">
        <f>IF(E489="Genius","N/A",IF('Step 2- Activity Inventory'!G492="","",'Step 2- Activity Inventory'!G492))</f>
        <v/>
      </c>
      <c r="G489" s="89" t="str">
        <f>IF('Step 2- Activity Inventory'!D492="","",'Step 2- Activity Inventory'!D492)</f>
        <v/>
      </c>
      <c r="H489" s="90"/>
      <c r="I489" s="24"/>
      <c r="J489" s="24"/>
      <c r="K489" s="91"/>
      <c r="L489" s="92" t="str">
        <f>IF(OR('Step 2- Activity Inventory'!O492=6,AND('Step 2- Activity Inventory'!O492=5,E489="Genius")),'Step 1- Hrly Rate Calc'!$D$18,"")</f>
        <v/>
      </c>
      <c r="M489" s="93" t="str">
        <f t="shared" si="21"/>
        <v/>
      </c>
      <c r="N489" s="93" t="str">
        <f>IF(L489="","",IF(IFERROR((G489/60)*M489*2*'Step 1- Hrly Rate Calc'!$D$14,"")&lt;0,"N/A",IFERROR((G489/60)*M489*2*'Step 1- Hrly Rate Calc'!$D$14,"")))</f>
        <v/>
      </c>
      <c r="O489" s="77" t="str">
        <f t="shared" si="22"/>
        <v/>
      </c>
      <c r="P489" s="77" t="str">
        <f t="shared" si="23"/>
        <v/>
      </c>
    </row>
    <row r="490" spans="2:16" s="61" customFormat="1" ht="34" customHeight="1" x14ac:dyDescent="0.2">
      <c r="B490" s="77" t="str">
        <f>IF('Step 2- Activity Inventory'!B493="","",'Step 2- Activity Inventory'!B493)</f>
        <v/>
      </c>
      <c r="C490" s="77" t="str">
        <f>IF('Step 2- Activity Inventory'!C493="","",'Step 2- Activity Inventory'!C493)</f>
        <v/>
      </c>
      <c r="D490" s="88" t="str">
        <f>IF('Step 2- Activity Inventory'!E493="","",'Step 2- Activity Inventory'!E493)</f>
        <v/>
      </c>
      <c r="E490" s="88" t="str">
        <f>IF('Step 2- Activity Inventory'!F493="","",'Step 2- Activity Inventory'!F493)</f>
        <v/>
      </c>
      <c r="F490" s="88" t="str">
        <f>IF(E490="Genius","N/A",IF('Step 2- Activity Inventory'!G493="","",'Step 2- Activity Inventory'!G493))</f>
        <v/>
      </c>
      <c r="G490" s="89" t="str">
        <f>IF('Step 2- Activity Inventory'!D493="","",'Step 2- Activity Inventory'!D493)</f>
        <v/>
      </c>
      <c r="H490" s="90"/>
      <c r="I490" s="24"/>
      <c r="J490" s="24"/>
      <c r="K490" s="91"/>
      <c r="L490" s="92" t="str">
        <f>IF(OR('Step 2- Activity Inventory'!O493=6,AND('Step 2- Activity Inventory'!O493=5,E490="Genius")),'Step 1- Hrly Rate Calc'!$D$18,"")</f>
        <v/>
      </c>
      <c r="M490" s="93" t="str">
        <f t="shared" si="21"/>
        <v/>
      </c>
      <c r="N490" s="93" t="str">
        <f>IF(L490="","",IF(IFERROR((G490/60)*M490*2*'Step 1- Hrly Rate Calc'!$D$14,"")&lt;0,"N/A",IFERROR((G490/60)*M490*2*'Step 1- Hrly Rate Calc'!$D$14,"")))</f>
        <v/>
      </c>
      <c r="O490" s="77" t="str">
        <f t="shared" si="22"/>
        <v/>
      </c>
      <c r="P490" s="77" t="str">
        <f t="shared" si="23"/>
        <v/>
      </c>
    </row>
    <row r="491" spans="2:16" s="61" customFormat="1" ht="34" customHeight="1" x14ac:dyDescent="0.2">
      <c r="B491" s="77" t="str">
        <f>IF('Step 2- Activity Inventory'!B494="","",'Step 2- Activity Inventory'!B494)</f>
        <v/>
      </c>
      <c r="C491" s="77" t="str">
        <f>IF('Step 2- Activity Inventory'!C494="","",'Step 2- Activity Inventory'!C494)</f>
        <v/>
      </c>
      <c r="D491" s="88" t="str">
        <f>IF('Step 2- Activity Inventory'!E494="","",'Step 2- Activity Inventory'!E494)</f>
        <v/>
      </c>
      <c r="E491" s="88" t="str">
        <f>IF('Step 2- Activity Inventory'!F494="","",'Step 2- Activity Inventory'!F494)</f>
        <v/>
      </c>
      <c r="F491" s="88" t="str">
        <f>IF(E491="Genius","N/A",IF('Step 2- Activity Inventory'!G494="","",'Step 2- Activity Inventory'!G494))</f>
        <v/>
      </c>
      <c r="G491" s="89" t="str">
        <f>IF('Step 2- Activity Inventory'!D494="","",'Step 2- Activity Inventory'!D494)</f>
        <v/>
      </c>
      <c r="H491" s="90"/>
      <c r="I491" s="24"/>
      <c r="J491" s="24"/>
      <c r="K491" s="91"/>
      <c r="L491" s="92" t="str">
        <f>IF(OR('Step 2- Activity Inventory'!O494=6,AND('Step 2- Activity Inventory'!O494=5,E491="Genius")),'Step 1- Hrly Rate Calc'!$D$18,"")</f>
        <v/>
      </c>
      <c r="M491" s="93" t="str">
        <f t="shared" si="21"/>
        <v/>
      </c>
      <c r="N491" s="93" t="str">
        <f>IF(L491="","",IF(IFERROR((G491/60)*M491*2*'Step 1- Hrly Rate Calc'!$D$14,"")&lt;0,"N/A",IFERROR((G491/60)*M491*2*'Step 1- Hrly Rate Calc'!$D$14,"")))</f>
        <v/>
      </c>
      <c r="O491" s="77" t="str">
        <f t="shared" si="22"/>
        <v/>
      </c>
      <c r="P491" s="77" t="str">
        <f t="shared" si="23"/>
        <v/>
      </c>
    </row>
    <row r="492" spans="2:16" s="61" customFormat="1" ht="34" customHeight="1" x14ac:dyDescent="0.2">
      <c r="B492" s="77" t="str">
        <f>IF('Step 2- Activity Inventory'!B495="","",'Step 2- Activity Inventory'!B495)</f>
        <v/>
      </c>
      <c r="C492" s="77" t="str">
        <f>IF('Step 2- Activity Inventory'!C495="","",'Step 2- Activity Inventory'!C495)</f>
        <v/>
      </c>
      <c r="D492" s="88" t="str">
        <f>IF('Step 2- Activity Inventory'!E495="","",'Step 2- Activity Inventory'!E495)</f>
        <v/>
      </c>
      <c r="E492" s="88" t="str">
        <f>IF('Step 2- Activity Inventory'!F495="","",'Step 2- Activity Inventory'!F495)</f>
        <v/>
      </c>
      <c r="F492" s="88" t="str">
        <f>IF(E492="Genius","N/A",IF('Step 2- Activity Inventory'!G495="","",'Step 2- Activity Inventory'!G495))</f>
        <v/>
      </c>
      <c r="G492" s="89" t="str">
        <f>IF('Step 2- Activity Inventory'!D495="","",'Step 2- Activity Inventory'!D495)</f>
        <v/>
      </c>
      <c r="H492" s="90"/>
      <c r="I492" s="24"/>
      <c r="J492" s="24"/>
      <c r="K492" s="91"/>
      <c r="L492" s="92" t="str">
        <f>IF(OR('Step 2- Activity Inventory'!O495=6,AND('Step 2- Activity Inventory'!O495=5,E492="Genius")),'Step 1- Hrly Rate Calc'!$D$18,"")</f>
        <v/>
      </c>
      <c r="M492" s="93" t="str">
        <f t="shared" si="21"/>
        <v/>
      </c>
      <c r="N492" s="93" t="str">
        <f>IF(L492="","",IF(IFERROR((G492/60)*M492*2*'Step 1- Hrly Rate Calc'!$D$14,"")&lt;0,"N/A",IFERROR((G492/60)*M492*2*'Step 1- Hrly Rate Calc'!$D$14,"")))</f>
        <v/>
      </c>
      <c r="O492" s="77" t="str">
        <f t="shared" si="22"/>
        <v/>
      </c>
      <c r="P492" s="77" t="str">
        <f t="shared" si="23"/>
        <v/>
      </c>
    </row>
    <row r="493" spans="2:16" s="61" customFormat="1" ht="34" customHeight="1" x14ac:dyDescent="0.2">
      <c r="B493" s="77" t="str">
        <f>IF('Step 2- Activity Inventory'!B496="","",'Step 2- Activity Inventory'!B496)</f>
        <v/>
      </c>
      <c r="C493" s="77" t="str">
        <f>IF('Step 2- Activity Inventory'!C496="","",'Step 2- Activity Inventory'!C496)</f>
        <v/>
      </c>
      <c r="D493" s="88" t="str">
        <f>IF('Step 2- Activity Inventory'!E496="","",'Step 2- Activity Inventory'!E496)</f>
        <v/>
      </c>
      <c r="E493" s="88" t="str">
        <f>IF('Step 2- Activity Inventory'!F496="","",'Step 2- Activity Inventory'!F496)</f>
        <v/>
      </c>
      <c r="F493" s="88" t="str">
        <f>IF(E493="Genius","N/A",IF('Step 2- Activity Inventory'!G496="","",'Step 2- Activity Inventory'!G496))</f>
        <v/>
      </c>
      <c r="G493" s="89" t="str">
        <f>IF('Step 2- Activity Inventory'!D496="","",'Step 2- Activity Inventory'!D496)</f>
        <v/>
      </c>
      <c r="H493" s="90"/>
      <c r="I493" s="24"/>
      <c r="J493" s="24"/>
      <c r="K493" s="91"/>
      <c r="L493" s="92" t="str">
        <f>IF(OR('Step 2- Activity Inventory'!O496=6,AND('Step 2- Activity Inventory'!O496=5,E493="Genius")),'Step 1- Hrly Rate Calc'!$D$18,"")</f>
        <v/>
      </c>
      <c r="M493" s="93" t="str">
        <f t="shared" si="21"/>
        <v/>
      </c>
      <c r="N493" s="93" t="str">
        <f>IF(L493="","",IF(IFERROR((G493/60)*M493*2*'Step 1- Hrly Rate Calc'!$D$14,"")&lt;0,"N/A",IFERROR((G493/60)*M493*2*'Step 1- Hrly Rate Calc'!$D$14,"")))</f>
        <v/>
      </c>
      <c r="O493" s="77" t="str">
        <f t="shared" si="22"/>
        <v/>
      </c>
      <c r="P493" s="77" t="str">
        <f t="shared" si="23"/>
        <v/>
      </c>
    </row>
    <row r="494" spans="2:16" s="61" customFormat="1" ht="34" customHeight="1" x14ac:dyDescent="0.2">
      <c r="B494" s="77" t="str">
        <f>IF('Step 2- Activity Inventory'!B497="","",'Step 2- Activity Inventory'!B497)</f>
        <v/>
      </c>
      <c r="C494" s="77" t="str">
        <f>IF('Step 2- Activity Inventory'!C497="","",'Step 2- Activity Inventory'!C497)</f>
        <v/>
      </c>
      <c r="D494" s="88" t="str">
        <f>IF('Step 2- Activity Inventory'!E497="","",'Step 2- Activity Inventory'!E497)</f>
        <v/>
      </c>
      <c r="E494" s="88" t="str">
        <f>IF('Step 2- Activity Inventory'!F497="","",'Step 2- Activity Inventory'!F497)</f>
        <v/>
      </c>
      <c r="F494" s="88" t="str">
        <f>IF(E494="Genius","N/A",IF('Step 2- Activity Inventory'!G497="","",'Step 2- Activity Inventory'!G497))</f>
        <v/>
      </c>
      <c r="G494" s="89" t="str">
        <f>IF('Step 2- Activity Inventory'!D497="","",'Step 2- Activity Inventory'!D497)</f>
        <v/>
      </c>
      <c r="H494" s="90"/>
      <c r="I494" s="24"/>
      <c r="J494" s="24"/>
      <c r="K494" s="91"/>
      <c r="L494" s="92" t="str">
        <f>IF(OR('Step 2- Activity Inventory'!O497=6,AND('Step 2- Activity Inventory'!O497=5,E494="Genius")),'Step 1- Hrly Rate Calc'!$D$18,"")</f>
        <v/>
      </c>
      <c r="M494" s="93" t="str">
        <f t="shared" si="21"/>
        <v/>
      </c>
      <c r="N494" s="93" t="str">
        <f>IF(L494="","",IF(IFERROR((G494/60)*M494*2*'Step 1- Hrly Rate Calc'!$D$14,"")&lt;0,"N/A",IFERROR((G494/60)*M494*2*'Step 1- Hrly Rate Calc'!$D$14,"")))</f>
        <v/>
      </c>
      <c r="O494" s="77" t="str">
        <f t="shared" si="22"/>
        <v/>
      </c>
      <c r="P494" s="77" t="str">
        <f t="shared" si="23"/>
        <v/>
      </c>
    </row>
    <row r="495" spans="2:16" s="61" customFormat="1" ht="34" customHeight="1" x14ac:dyDescent="0.2">
      <c r="B495" s="77" t="str">
        <f>IF('Step 2- Activity Inventory'!B498="","",'Step 2- Activity Inventory'!B498)</f>
        <v/>
      </c>
      <c r="C495" s="77" t="str">
        <f>IF('Step 2- Activity Inventory'!C498="","",'Step 2- Activity Inventory'!C498)</f>
        <v/>
      </c>
      <c r="D495" s="88" t="str">
        <f>IF('Step 2- Activity Inventory'!E498="","",'Step 2- Activity Inventory'!E498)</f>
        <v/>
      </c>
      <c r="E495" s="88" t="str">
        <f>IF('Step 2- Activity Inventory'!F498="","",'Step 2- Activity Inventory'!F498)</f>
        <v/>
      </c>
      <c r="F495" s="88" t="str">
        <f>IF(E495="Genius","N/A",IF('Step 2- Activity Inventory'!G498="","",'Step 2- Activity Inventory'!G498))</f>
        <v/>
      </c>
      <c r="G495" s="89" t="str">
        <f>IF('Step 2- Activity Inventory'!D498="","",'Step 2- Activity Inventory'!D498)</f>
        <v/>
      </c>
      <c r="H495" s="90"/>
      <c r="I495" s="24"/>
      <c r="J495" s="24"/>
      <c r="K495" s="91"/>
      <c r="L495" s="92" t="str">
        <f>IF(OR('Step 2- Activity Inventory'!O498=6,AND('Step 2- Activity Inventory'!O498=5,E495="Genius")),'Step 1- Hrly Rate Calc'!$D$18,"")</f>
        <v/>
      </c>
      <c r="M495" s="93" t="str">
        <f t="shared" si="21"/>
        <v/>
      </c>
      <c r="N495" s="93" t="str">
        <f>IF(L495="","",IF(IFERROR((G495/60)*M495*2*'Step 1- Hrly Rate Calc'!$D$14,"")&lt;0,"N/A",IFERROR((G495/60)*M495*2*'Step 1- Hrly Rate Calc'!$D$14,"")))</f>
        <v/>
      </c>
      <c r="O495" s="77" t="str">
        <f t="shared" si="22"/>
        <v/>
      </c>
      <c r="P495" s="77" t="str">
        <f t="shared" si="23"/>
        <v/>
      </c>
    </row>
    <row r="496" spans="2:16" s="61" customFormat="1" ht="34" customHeight="1" x14ac:dyDescent="0.2">
      <c r="B496" s="77" t="str">
        <f>IF('Step 2- Activity Inventory'!B499="","",'Step 2- Activity Inventory'!B499)</f>
        <v/>
      </c>
      <c r="C496" s="77" t="str">
        <f>IF('Step 2- Activity Inventory'!C499="","",'Step 2- Activity Inventory'!C499)</f>
        <v/>
      </c>
      <c r="D496" s="88" t="str">
        <f>IF('Step 2- Activity Inventory'!E499="","",'Step 2- Activity Inventory'!E499)</f>
        <v/>
      </c>
      <c r="E496" s="88" t="str">
        <f>IF('Step 2- Activity Inventory'!F499="","",'Step 2- Activity Inventory'!F499)</f>
        <v/>
      </c>
      <c r="F496" s="88" t="str">
        <f>IF(E496="Genius","N/A",IF('Step 2- Activity Inventory'!G499="","",'Step 2- Activity Inventory'!G499))</f>
        <v/>
      </c>
      <c r="G496" s="89" t="str">
        <f>IF('Step 2- Activity Inventory'!D499="","",'Step 2- Activity Inventory'!D499)</f>
        <v/>
      </c>
      <c r="H496" s="90"/>
      <c r="I496" s="24"/>
      <c r="J496" s="24"/>
      <c r="K496" s="91"/>
      <c r="L496" s="92" t="str">
        <f>IF(OR('Step 2- Activity Inventory'!O499=6,AND('Step 2- Activity Inventory'!O499=5,E496="Genius")),'Step 1- Hrly Rate Calc'!$D$18,"")</f>
        <v/>
      </c>
      <c r="M496" s="93" t="str">
        <f t="shared" si="21"/>
        <v/>
      </c>
      <c r="N496" s="93" t="str">
        <f>IF(L496="","",IF(IFERROR((G496/60)*M496*2*'Step 1- Hrly Rate Calc'!$D$14,"")&lt;0,"N/A",IFERROR((G496/60)*M496*2*'Step 1- Hrly Rate Calc'!$D$14,"")))</f>
        <v/>
      </c>
      <c r="O496" s="77" t="str">
        <f t="shared" si="22"/>
        <v/>
      </c>
      <c r="P496" s="77" t="str">
        <f t="shared" si="23"/>
        <v/>
      </c>
    </row>
    <row r="497" spans="2:16" s="61" customFormat="1" ht="34" customHeight="1" x14ac:dyDescent="0.2">
      <c r="B497" s="77" t="str">
        <f>IF('Step 2- Activity Inventory'!B500="","",'Step 2- Activity Inventory'!B500)</f>
        <v/>
      </c>
      <c r="C497" s="77" t="str">
        <f>IF('Step 2- Activity Inventory'!C500="","",'Step 2- Activity Inventory'!C500)</f>
        <v/>
      </c>
      <c r="D497" s="88" t="str">
        <f>IF('Step 2- Activity Inventory'!E500="","",'Step 2- Activity Inventory'!E500)</f>
        <v/>
      </c>
      <c r="E497" s="88" t="str">
        <f>IF('Step 2- Activity Inventory'!F500="","",'Step 2- Activity Inventory'!F500)</f>
        <v/>
      </c>
      <c r="F497" s="88" t="str">
        <f>IF(E497="Genius","N/A",IF('Step 2- Activity Inventory'!G500="","",'Step 2- Activity Inventory'!G500))</f>
        <v/>
      </c>
      <c r="G497" s="89" t="str">
        <f>IF('Step 2- Activity Inventory'!D500="","",'Step 2- Activity Inventory'!D500)</f>
        <v/>
      </c>
      <c r="H497" s="90"/>
      <c r="I497" s="24"/>
      <c r="J497" s="24"/>
      <c r="K497" s="91"/>
      <c r="L497" s="92" t="str">
        <f>IF(OR('Step 2- Activity Inventory'!O500=6,AND('Step 2- Activity Inventory'!O500=5,E497="Genius")),'Step 1- Hrly Rate Calc'!$D$18,"")</f>
        <v/>
      </c>
      <c r="M497" s="93" t="str">
        <f t="shared" si="21"/>
        <v/>
      </c>
      <c r="N497" s="93" t="str">
        <f>IF(L497="","",IF(IFERROR((G497/60)*M497*2*'Step 1- Hrly Rate Calc'!$D$14,"")&lt;0,"N/A",IFERROR((G497/60)*M497*2*'Step 1- Hrly Rate Calc'!$D$14,"")))</f>
        <v/>
      </c>
      <c r="O497" s="77" t="str">
        <f t="shared" si="22"/>
        <v/>
      </c>
      <c r="P497" s="77" t="str">
        <f t="shared" si="23"/>
        <v/>
      </c>
    </row>
    <row r="498" spans="2:16" s="61" customFormat="1" ht="34" customHeight="1" x14ac:dyDescent="0.2">
      <c r="B498" s="77" t="str">
        <f>IF('Step 2- Activity Inventory'!B501="","",'Step 2- Activity Inventory'!B501)</f>
        <v/>
      </c>
      <c r="C498" s="77" t="str">
        <f>IF('Step 2- Activity Inventory'!C501="","",'Step 2- Activity Inventory'!C501)</f>
        <v/>
      </c>
      <c r="D498" s="88" t="str">
        <f>IF('Step 2- Activity Inventory'!E501="","",'Step 2- Activity Inventory'!E501)</f>
        <v/>
      </c>
      <c r="E498" s="88" t="str">
        <f>IF('Step 2- Activity Inventory'!F501="","",'Step 2- Activity Inventory'!F501)</f>
        <v/>
      </c>
      <c r="F498" s="88" t="str">
        <f>IF(E498="Genius","N/A",IF('Step 2- Activity Inventory'!G501="","",'Step 2- Activity Inventory'!G501))</f>
        <v/>
      </c>
      <c r="G498" s="89" t="str">
        <f>IF('Step 2- Activity Inventory'!D501="","",'Step 2- Activity Inventory'!D501)</f>
        <v/>
      </c>
      <c r="H498" s="90"/>
      <c r="I498" s="24"/>
      <c r="J498" s="24"/>
      <c r="K498" s="91"/>
      <c r="L498" s="92" t="str">
        <f>IF(OR('Step 2- Activity Inventory'!O501=6,AND('Step 2- Activity Inventory'!O501=5,E498="Genius")),'Step 1- Hrly Rate Calc'!$D$18,"")</f>
        <v/>
      </c>
      <c r="M498" s="93" t="str">
        <f t="shared" si="21"/>
        <v/>
      </c>
      <c r="N498" s="93" t="str">
        <f>IF(L498="","",IF(IFERROR((G498/60)*M498*2*'Step 1- Hrly Rate Calc'!$D$14,"")&lt;0,"N/A",IFERROR((G498/60)*M498*2*'Step 1- Hrly Rate Calc'!$D$14,"")))</f>
        <v/>
      </c>
      <c r="O498" s="77" t="str">
        <f t="shared" si="22"/>
        <v/>
      </c>
      <c r="P498" s="77" t="str">
        <f t="shared" si="23"/>
        <v/>
      </c>
    </row>
    <row r="499" spans="2:16" s="61" customFormat="1" ht="34" customHeight="1" x14ac:dyDescent="0.2">
      <c r="B499" s="77" t="str">
        <f>IF('Step 2- Activity Inventory'!B502="","",'Step 2- Activity Inventory'!B502)</f>
        <v/>
      </c>
      <c r="C499" s="77" t="str">
        <f>IF('Step 2- Activity Inventory'!C502="","",'Step 2- Activity Inventory'!C502)</f>
        <v/>
      </c>
      <c r="D499" s="88" t="str">
        <f>IF('Step 2- Activity Inventory'!E502="","",'Step 2- Activity Inventory'!E502)</f>
        <v/>
      </c>
      <c r="E499" s="88" t="str">
        <f>IF('Step 2- Activity Inventory'!F502="","",'Step 2- Activity Inventory'!F502)</f>
        <v/>
      </c>
      <c r="F499" s="88" t="str">
        <f>IF(E499="Genius","N/A",IF('Step 2- Activity Inventory'!G502="","",'Step 2- Activity Inventory'!G502))</f>
        <v/>
      </c>
      <c r="G499" s="89" t="str">
        <f>IF('Step 2- Activity Inventory'!D502="","",'Step 2- Activity Inventory'!D502)</f>
        <v/>
      </c>
      <c r="H499" s="90"/>
      <c r="I499" s="24"/>
      <c r="J499" s="24"/>
      <c r="K499" s="91"/>
      <c r="L499" s="92" t="str">
        <f>IF(OR('Step 2- Activity Inventory'!O502=6,AND('Step 2- Activity Inventory'!O502=5,E499="Genius")),'Step 1- Hrly Rate Calc'!$D$18,"")</f>
        <v/>
      </c>
      <c r="M499" s="93" t="str">
        <f t="shared" si="21"/>
        <v/>
      </c>
      <c r="N499" s="93" t="str">
        <f>IF(L499="","",IF(IFERROR((G499/60)*M499*2*'Step 1- Hrly Rate Calc'!$D$14,"")&lt;0,"N/A",IFERROR((G499/60)*M499*2*'Step 1- Hrly Rate Calc'!$D$14,"")))</f>
        <v/>
      </c>
      <c r="O499" s="77" t="str">
        <f t="shared" si="22"/>
        <v/>
      </c>
      <c r="P499" s="77" t="str">
        <f t="shared" si="23"/>
        <v/>
      </c>
    </row>
    <row r="500" spans="2:16" s="61" customFormat="1" ht="34" customHeight="1" x14ac:dyDescent="0.2">
      <c r="B500" s="77" t="str">
        <f>IF('Step 2- Activity Inventory'!B503="","",'Step 2- Activity Inventory'!B503)</f>
        <v/>
      </c>
      <c r="C500" s="77" t="str">
        <f>IF('Step 2- Activity Inventory'!C503="","",'Step 2- Activity Inventory'!C503)</f>
        <v/>
      </c>
      <c r="D500" s="88" t="str">
        <f>IF('Step 2- Activity Inventory'!E503="","",'Step 2- Activity Inventory'!E503)</f>
        <v/>
      </c>
      <c r="E500" s="88" t="str">
        <f>IF('Step 2- Activity Inventory'!F503="","",'Step 2- Activity Inventory'!F503)</f>
        <v/>
      </c>
      <c r="F500" s="88" t="str">
        <f>IF(E500="Genius","N/A",IF('Step 2- Activity Inventory'!G503="","",'Step 2- Activity Inventory'!G503))</f>
        <v/>
      </c>
      <c r="G500" s="89" t="str">
        <f>IF('Step 2- Activity Inventory'!D503="","",'Step 2- Activity Inventory'!D503)</f>
        <v/>
      </c>
      <c r="H500" s="90"/>
      <c r="I500" s="24"/>
      <c r="J500" s="24"/>
      <c r="K500" s="91"/>
      <c r="L500" s="92" t="str">
        <f>IF(OR('Step 2- Activity Inventory'!O503=6,AND('Step 2- Activity Inventory'!O503=5,E500="Genius")),'Step 1- Hrly Rate Calc'!$D$18,"")</f>
        <v/>
      </c>
      <c r="M500" s="93" t="str">
        <f t="shared" si="21"/>
        <v/>
      </c>
      <c r="N500" s="93" t="str">
        <f>IF(L500="","",IF(IFERROR((G500/60)*M500*2*'Step 1- Hrly Rate Calc'!$D$14,"")&lt;0,"N/A",IFERROR((G500/60)*M500*2*'Step 1- Hrly Rate Calc'!$D$14,"")))</f>
        <v/>
      </c>
      <c r="O500" s="77" t="str">
        <f t="shared" si="22"/>
        <v/>
      </c>
      <c r="P500" s="77" t="str">
        <f t="shared" si="23"/>
        <v/>
      </c>
    </row>
  </sheetData>
  <sheetProtection algorithmName="SHA-512" hashValue="DyXuoiT+lki5d/XkZECquCIbVUcvg3cQ0rceKo9Dov6QzyyHthtlzKpAtIEoINcukN1kl826/raN6vG6NVdNhA==" saltValue="tjy3sWOBGsWhygarAZMRFA==" spinCount="100000" sheet="1" objects="1" scenarios="1" selectLockedCells="1"/>
  <mergeCells count="2">
    <mergeCell ref="B2:P2"/>
    <mergeCell ref="B4:P4"/>
  </mergeCells>
  <phoneticPr fontId="5" type="noConversion"/>
  <conditionalFormatting sqref="O8:O500">
    <cfRule type="cellIs" dxfId="3" priority="4" operator="equal">
      <formula>"KEEP DOING"</formula>
    </cfRule>
    <cfRule type="cellIs" dxfId="2" priority="5" operator="equal">
      <formula>"STOP DOING"</formula>
    </cfRule>
  </conditionalFormatting>
  <conditionalFormatting sqref="P8:P500">
    <cfRule type="cellIs" dxfId="1" priority="1" operator="equal">
      <formula>"Ready to Stop Doing"</formula>
    </cfRule>
    <cfRule type="cellIs" dxfId="0" priority="2" operator="equal">
      <formula>"Not Ready"</formula>
    </cfRule>
  </conditionalFormatting>
  <dataValidations count="2">
    <dataValidation type="list" allowBlank="1" showInputMessage="1" showErrorMessage="1" sqref="H8:H500 J8:J500" xr:uid="{00000000-0002-0000-0400-000000000000}">
      <formula1>$BF$2:$BF$3</formula1>
    </dataValidation>
    <dataValidation type="list" allowBlank="1" showInputMessage="1" showErrorMessage="1" sqref="I8:I500" xr:uid="{00000000-0002-0000-0400-000001000000}">
      <formula1>$BE$2:$BE$4</formula1>
    </dataValidation>
  </dataValidations>
  <pageMargins left="0.7" right="0.7" top="0.75" bottom="0.75" header="0.3" footer="0.3"/>
  <pageSetup paperSize="9" scale="44" orientation="landscape" horizontalDpi="4294967293" verticalDpi="0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10"/>
  <sheetViews>
    <sheetView workbookViewId="0">
      <selection activeCell="A12" sqref="A12"/>
    </sheetView>
  </sheetViews>
  <sheetFormatPr baseColWidth="10" defaultColWidth="8.83203125" defaultRowHeight="15" x14ac:dyDescent="0.2"/>
  <cols>
    <col min="1" max="1" width="63.1640625" customWidth="1"/>
    <col min="2" max="2" width="20.5" customWidth="1"/>
  </cols>
  <sheetData>
    <row r="1" spans="1:1" ht="25" customHeight="1" x14ac:dyDescent="0.2"/>
    <row r="2" spans="1:1" ht="25" customHeight="1" x14ac:dyDescent="0.2">
      <c r="A2" s="4"/>
    </row>
    <row r="3" spans="1:1" ht="25" customHeight="1" x14ac:dyDescent="0.2"/>
    <row r="4" spans="1:1" ht="25" customHeight="1" x14ac:dyDescent="0.2">
      <c r="A4" s="2"/>
    </row>
    <row r="5" spans="1:1" ht="25" customHeight="1" x14ac:dyDescent="0.2"/>
    <row r="6" spans="1:1" ht="33.75" customHeight="1" x14ac:dyDescent="0.2">
      <c r="A6" s="3"/>
    </row>
    <row r="7" spans="1:1" ht="33.75" customHeight="1" x14ac:dyDescent="0.2"/>
    <row r="8" spans="1:1" ht="33.75" customHeight="1" x14ac:dyDescent="0.2">
      <c r="A8" s="5"/>
    </row>
    <row r="9" spans="1:1" ht="33.75" customHeight="1" x14ac:dyDescent="0.2"/>
    <row r="10" spans="1:1" ht="33.75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Basic Time Log</vt:lpstr>
      <vt:lpstr>Advanced Time Log</vt:lpstr>
      <vt:lpstr>Step 1- Hrly Rate Calc</vt:lpstr>
      <vt:lpstr>Step 2- Activity Inventory</vt:lpstr>
      <vt:lpstr>Step 3 - Your Stop Doing List </vt:lpstr>
      <vt:lpstr>Temp</vt:lpstr>
      <vt:lpstr>'Step 3 - Your Stop Doing List '!Print_Area</vt:lpstr>
      <vt:lpstr>zone</vt:lpstr>
    </vt:vector>
  </TitlesOfParts>
  <Company>Brain &amp; Poulter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suzeebrain</dc:creator>
  <cp:lastModifiedBy>Matt Malouf</cp:lastModifiedBy>
  <cp:lastPrinted>2017-02-22T19:50:11Z</cp:lastPrinted>
  <dcterms:created xsi:type="dcterms:W3CDTF">2015-05-11T01:06:57Z</dcterms:created>
  <dcterms:modified xsi:type="dcterms:W3CDTF">2025-11-25T19:32:32Z</dcterms:modified>
</cp:coreProperties>
</file>