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025 - Forecast" sheetId="1" r:id="rId4"/>
    <sheet state="visible" name="Payroll" sheetId="2" r:id="rId5"/>
  </sheets>
  <definedNames/>
  <calcPr/>
</workbook>
</file>

<file path=xl/sharedStrings.xml><?xml version="1.0" encoding="utf-8"?>
<sst xmlns="http://schemas.openxmlformats.org/spreadsheetml/2006/main" count="51" uniqueCount="21">
  <si>
    <t>Account</t>
  </si>
  <si>
    <t>Sept 2024</t>
  </si>
  <si>
    <t>FY2025</t>
  </si>
  <si>
    <t>Actual</t>
  </si>
  <si>
    <t>Forecast</t>
  </si>
  <si>
    <t>Employee Name</t>
  </si>
  <si>
    <t>Category</t>
  </si>
  <si>
    <t>Star Date</t>
  </si>
  <si>
    <t>End Date</t>
  </si>
  <si>
    <t>Hours</t>
  </si>
  <si>
    <t>Rate</t>
  </si>
  <si>
    <t>Weekly Budget</t>
  </si>
  <si>
    <t>Annual Salary</t>
  </si>
  <si>
    <t>Weekly PAYG</t>
  </si>
  <si>
    <t>Wages Admin</t>
  </si>
  <si>
    <t>Wages COGS</t>
  </si>
  <si>
    <t># of PayRuns</t>
  </si>
  <si>
    <t>PAYG</t>
  </si>
  <si>
    <t>Net Wages</t>
  </si>
  <si>
    <t>Superannuation</t>
  </si>
  <si>
    <t>Payroll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</si>
</sst>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yyyy"/>
    <numFmt numFmtId="165" formatCode="mmmm yyyy"/>
    <numFmt numFmtId="166" formatCode="&quot;$&quot;#,##0"/>
    <numFmt numFmtId="167" formatCode="mmm&quot;-&quot;yy"/>
    <numFmt numFmtId="168" formatCode="d&quot; &quot;mmm&quot; &quot;yyyy"/>
    <numFmt numFmtId="169" formatCode="&quot;$&quot;#,##0.00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</fills>
  <borders count="8">
    <border/>
    <border>
      <bottom style="thin">
        <color rgb="FF000000"/>
      </bottom>
    </border>
    <border>
      <top style="thin">
        <color rgb="FFEBEBEB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2" fontId="1" numFmtId="164" xfId="0" applyAlignment="1" applyBorder="1" applyFill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165" xfId="0" applyAlignment="1" applyBorder="1" applyFont="1" applyNumberFormat="1">
      <alignment horizontal="center" readingOrder="0" shrinkToFit="0" wrapText="0"/>
    </xf>
    <xf borderId="1" fillId="0" fontId="1" numFmtId="164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2" fontId="1" numFmtId="166" xfId="0" applyAlignment="1" applyBorder="1" applyFont="1" applyNumberFormat="1">
      <alignment horizontal="center" shrinkToFit="0" wrapText="0"/>
    </xf>
    <xf borderId="1" fillId="0" fontId="1" numFmtId="166" xfId="0" applyAlignment="1" applyBorder="1" applyFont="1" applyNumberFormat="1">
      <alignment horizontal="center" shrinkToFit="0" wrapText="0"/>
    </xf>
    <xf borderId="0" fillId="0" fontId="2" numFmtId="0" xfId="0" applyAlignment="1" applyFont="1">
      <alignment readingOrder="0" shrinkToFit="0" wrapText="0"/>
    </xf>
    <xf borderId="0" fillId="2" fontId="2" numFmtId="166" xfId="0" applyAlignment="1" applyFont="1" applyNumberFormat="1">
      <alignment horizontal="center" readingOrder="0" shrinkToFit="0" wrapText="0"/>
    </xf>
    <xf borderId="0" fillId="2" fontId="1" numFmtId="166" xfId="0" applyAlignment="1" applyFont="1" applyNumberFormat="1">
      <alignment horizontal="center" readingOrder="0" shrinkToFit="0" wrapText="0"/>
    </xf>
    <xf borderId="0" fillId="0" fontId="2" numFmtId="166" xfId="0" applyAlignment="1" applyFont="1" applyNumberFormat="1">
      <alignment horizontal="center" readingOrder="0" shrinkToFit="0" wrapText="0"/>
    </xf>
    <xf borderId="0" fillId="0" fontId="1" numFmtId="166" xfId="0" applyAlignment="1" applyFont="1" applyNumberFormat="1">
      <alignment horizontal="center" readingOrder="0" shrinkToFit="0" wrapText="0"/>
    </xf>
    <xf borderId="2" fillId="0" fontId="2" numFmtId="0" xfId="0" applyAlignment="1" applyBorder="1" applyFont="1">
      <alignment readingOrder="0" shrinkToFit="0" wrapText="0"/>
    </xf>
    <xf borderId="2" fillId="2" fontId="2" numFmtId="166" xfId="0" applyAlignment="1" applyBorder="1" applyFont="1" applyNumberFormat="1">
      <alignment horizontal="center" readingOrder="0" shrinkToFit="0" wrapText="0"/>
    </xf>
    <xf borderId="2" fillId="2" fontId="1" numFmtId="166" xfId="0" applyAlignment="1" applyBorder="1" applyFont="1" applyNumberFormat="1">
      <alignment horizontal="center" readingOrder="0" shrinkToFit="0" wrapText="0"/>
    </xf>
    <xf borderId="2" fillId="0" fontId="2" numFmtId="166" xfId="0" applyAlignment="1" applyBorder="1" applyFont="1" applyNumberFormat="1">
      <alignment horizontal="center" readingOrder="0" shrinkToFit="0" wrapText="0"/>
    </xf>
    <xf borderId="2" fillId="0" fontId="1" numFmtId="166" xfId="0" applyAlignment="1" applyBorder="1" applyFont="1" applyNumberFormat="1">
      <alignment horizontal="center" readingOrder="0" shrinkToFit="0" wrapText="0"/>
    </xf>
    <xf borderId="2" fillId="0" fontId="1" numFmtId="0" xfId="0" applyAlignment="1" applyBorder="1" applyFont="1">
      <alignment readingOrder="0" shrinkToFit="0" wrapText="0"/>
    </xf>
    <xf borderId="0" fillId="2" fontId="2" numFmtId="166" xfId="0" applyAlignment="1" applyFont="1" applyNumberFormat="1">
      <alignment horizontal="center" shrinkToFit="0" vertical="bottom" wrapText="0"/>
    </xf>
    <xf borderId="0" fillId="2" fontId="1" numFmtId="166" xfId="0" applyAlignment="1" applyFont="1" applyNumberFormat="1">
      <alignment horizontal="center" shrinkToFit="0" vertical="bottom" wrapText="0"/>
    </xf>
    <xf borderId="0" fillId="0" fontId="2" numFmtId="166" xfId="0" applyAlignment="1" applyFont="1" applyNumberFormat="1">
      <alignment horizontal="center" shrinkToFit="0" vertical="bottom" wrapText="0"/>
    </xf>
    <xf borderId="0" fillId="0" fontId="1" numFmtId="166" xfId="0" applyAlignment="1" applyFont="1" applyNumberFormat="1">
      <alignment horizontal="center" shrinkToFit="0" vertical="bottom" wrapText="0"/>
    </xf>
    <xf borderId="3" fillId="3" fontId="1" numFmtId="0" xfId="0" applyAlignment="1" applyBorder="1" applyFill="1" applyFont="1">
      <alignment readingOrder="0" shrinkToFit="0" wrapText="0"/>
    </xf>
    <xf borderId="3" fillId="2" fontId="1" numFmtId="166" xfId="0" applyAlignment="1" applyBorder="1" applyFont="1" applyNumberFormat="1">
      <alignment horizontal="center" readingOrder="0" shrinkToFit="0" wrapText="0"/>
    </xf>
    <xf borderId="3" fillId="3" fontId="1" numFmtId="166" xfId="0" applyAlignment="1" applyBorder="1" applyFont="1" applyNumberFormat="1">
      <alignment horizontal="center" readingOrder="0" shrinkToFit="0" wrapText="0"/>
    </xf>
    <xf borderId="0" fillId="0" fontId="3" numFmtId="166" xfId="0" applyAlignment="1" applyFont="1" applyNumberFormat="1">
      <alignment horizontal="center" readingOrder="0" shrinkToFit="0" wrapText="0"/>
    </xf>
    <xf borderId="2" fillId="0" fontId="2" numFmtId="10" xfId="0" applyAlignment="1" applyBorder="1" applyFont="1" applyNumberFormat="1">
      <alignment horizontal="center" readingOrder="0" shrinkToFit="0" wrapText="0"/>
    </xf>
    <xf borderId="0" fillId="0" fontId="3" numFmtId="0" xfId="0" applyFont="1"/>
    <xf borderId="0" fillId="0" fontId="3" numFmtId="166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5" fillId="2" fontId="6" numFmtId="4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center" readingOrder="0" vertical="center"/>
    </xf>
    <xf borderId="0" fillId="0" fontId="5" numFmtId="167" xfId="0" applyAlignment="1" applyFont="1" applyNumberForma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right" readingOrder="0" vertical="center"/>
    </xf>
    <xf borderId="7" fillId="0" fontId="5" numFmtId="168" xfId="0" applyAlignment="1" applyBorder="1" applyFont="1" applyNumberFormat="1">
      <alignment horizontal="center" readingOrder="0" vertical="center"/>
    </xf>
    <xf borderId="7" fillId="0" fontId="5" numFmtId="168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7" fillId="0" fontId="5" numFmtId="169" xfId="0" applyAlignment="1" applyBorder="1" applyFont="1" applyNumberFormat="1">
      <alignment horizontal="center" vertical="center"/>
    </xf>
    <xf borderId="7" fillId="0" fontId="5" numFmtId="166" xfId="0" applyAlignment="1" applyBorder="1" applyFont="1" applyNumberFormat="1">
      <alignment horizontal="center" readingOrder="0" vertical="center"/>
    </xf>
    <xf borderId="7" fillId="0" fontId="5" numFmtId="166" xfId="0" applyAlignment="1" applyBorder="1" applyFont="1" applyNumberFormat="1">
      <alignment horizontal="center" vertical="center"/>
    </xf>
    <xf borderId="4" fillId="0" fontId="5" numFmtId="166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4" fillId="2" fontId="6" numFmtId="167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5"/>
    <col customWidth="1" min="2" max="14" width="11.38"/>
    <col customWidth="1" min="15" max="15" width="17.75"/>
    <col customWidth="1" min="16" max="29" width="11.38"/>
  </cols>
  <sheetData>
    <row r="1">
      <c r="A1" s="1" t="s">
        <v>0</v>
      </c>
      <c r="B1" s="2">
        <v>45474.0</v>
      </c>
      <c r="C1" s="2">
        <v>45505.0</v>
      </c>
      <c r="D1" s="3" t="s">
        <v>1</v>
      </c>
      <c r="E1" s="2">
        <v>45566.0</v>
      </c>
      <c r="F1" s="2">
        <v>45597.0</v>
      </c>
      <c r="G1" s="2">
        <v>45627.0</v>
      </c>
      <c r="H1" s="2">
        <v>45658.0</v>
      </c>
      <c r="I1" s="2">
        <v>45689.0</v>
      </c>
      <c r="J1" s="2">
        <v>45717.0</v>
      </c>
      <c r="K1" s="2">
        <v>45748.0</v>
      </c>
      <c r="L1" s="4">
        <v>45778.0</v>
      </c>
      <c r="M1" s="2">
        <v>45809.0</v>
      </c>
      <c r="N1" s="3" t="s">
        <v>2</v>
      </c>
      <c r="O1" s="5"/>
      <c r="P1" s="5"/>
      <c r="Q1" s="5">
        <v>45839.0</v>
      </c>
      <c r="R1" s="5">
        <v>45870.0</v>
      </c>
      <c r="S1" s="5">
        <v>45901.0</v>
      </c>
      <c r="T1" s="5">
        <v>45931.0</v>
      </c>
      <c r="U1" s="5">
        <v>45962.0</v>
      </c>
      <c r="V1" s="5">
        <v>45992.0</v>
      </c>
      <c r="W1" s="5">
        <v>46023.0</v>
      </c>
      <c r="X1" s="5">
        <v>46054.0</v>
      </c>
      <c r="Y1" s="5">
        <v>46082.0</v>
      </c>
      <c r="Z1" s="5">
        <v>46113.0</v>
      </c>
      <c r="AA1" s="5">
        <v>46143.0</v>
      </c>
      <c r="AB1" s="5">
        <v>46174.0</v>
      </c>
      <c r="AC1" s="6" t="s">
        <v>2</v>
      </c>
    </row>
    <row r="2">
      <c r="A2" s="7"/>
      <c r="B2" s="8" t="s">
        <v>3</v>
      </c>
      <c r="C2" s="8" t="s">
        <v>3</v>
      </c>
      <c r="D2" s="8" t="s">
        <v>3</v>
      </c>
      <c r="E2" s="8" t="s">
        <v>3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3</v>
      </c>
      <c r="M2" s="8" t="s">
        <v>3</v>
      </c>
      <c r="N2" s="9" t="s">
        <v>3</v>
      </c>
      <c r="O2" s="10"/>
      <c r="P2" s="10"/>
      <c r="Q2" s="11" t="s">
        <v>4</v>
      </c>
      <c r="R2" s="11" t="s">
        <v>4</v>
      </c>
      <c r="S2" s="11" t="s">
        <v>4</v>
      </c>
      <c r="T2" s="11" t="s">
        <v>4</v>
      </c>
      <c r="U2" s="11" t="s">
        <v>4</v>
      </c>
      <c r="V2" s="11" t="s">
        <v>4</v>
      </c>
      <c r="W2" s="11" t="s">
        <v>4</v>
      </c>
      <c r="X2" s="11" t="s">
        <v>4</v>
      </c>
      <c r="Y2" s="11" t="s">
        <v>4</v>
      </c>
      <c r="Z2" s="11" t="s">
        <v>4</v>
      </c>
      <c r="AA2" s="11" t="s">
        <v>4</v>
      </c>
      <c r="AB2" s="11" t="s">
        <v>4</v>
      </c>
      <c r="AC2" s="12" t="s">
        <v>4</v>
      </c>
    </row>
    <row r="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>
        <f t="shared" ref="N4:N8" si="1">sum(B4:M4)</f>
        <v>0</v>
      </c>
      <c r="O4" s="19"/>
      <c r="P4" s="19"/>
      <c r="S4" s="19"/>
      <c r="T4" s="19"/>
      <c r="U4" s="19"/>
      <c r="V4" s="19"/>
      <c r="W4" s="19"/>
      <c r="X4" s="19"/>
      <c r="Y4" s="19"/>
      <c r="Z4" s="19"/>
      <c r="AB4" s="19"/>
      <c r="AC4" s="20">
        <f t="shared" ref="AC4:AC8" si="2">sum(Q4:AB4)</f>
        <v>0</v>
      </c>
    </row>
    <row r="5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>
        <f t="shared" si="1"/>
        <v>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5">
        <f t="shared" si="2"/>
        <v>0</v>
      </c>
    </row>
    <row r="6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>
        <f t="shared" si="1"/>
        <v>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5">
        <f t="shared" si="2"/>
        <v>0</v>
      </c>
    </row>
    <row r="7">
      <c r="A7" s="21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>
        <f t="shared" si="1"/>
        <v>0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5">
        <f t="shared" si="2"/>
        <v>0</v>
      </c>
    </row>
    <row r="8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>
        <f t="shared" si="1"/>
        <v>0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5">
        <f t="shared" si="2"/>
        <v>0</v>
      </c>
    </row>
    <row r="9">
      <c r="A9" s="26"/>
      <c r="B9" s="23">
        <f t="shared" ref="B9:N9" si="3">sum(B4:B8)</f>
        <v>0</v>
      </c>
      <c r="C9" s="23">
        <f t="shared" si="3"/>
        <v>0</v>
      </c>
      <c r="D9" s="23">
        <f t="shared" si="3"/>
        <v>0</v>
      </c>
      <c r="E9" s="23">
        <f t="shared" si="3"/>
        <v>0</v>
      </c>
      <c r="F9" s="23">
        <f t="shared" si="3"/>
        <v>0</v>
      </c>
      <c r="G9" s="23">
        <f t="shared" si="3"/>
        <v>0</v>
      </c>
      <c r="H9" s="23">
        <f t="shared" si="3"/>
        <v>0</v>
      </c>
      <c r="I9" s="23">
        <f t="shared" si="3"/>
        <v>0</v>
      </c>
      <c r="J9" s="23">
        <f t="shared" si="3"/>
        <v>0</v>
      </c>
      <c r="K9" s="23">
        <f t="shared" si="3"/>
        <v>0</v>
      </c>
      <c r="L9" s="23">
        <f t="shared" si="3"/>
        <v>0</v>
      </c>
      <c r="M9" s="23">
        <f t="shared" si="3"/>
        <v>0</v>
      </c>
      <c r="N9" s="23">
        <f t="shared" si="3"/>
        <v>0</v>
      </c>
      <c r="O9" s="25"/>
      <c r="P9" s="25"/>
      <c r="Q9" s="25">
        <f t="shared" ref="Q9:AC9" si="4">sum(Q4:Q8)</f>
        <v>0</v>
      </c>
      <c r="R9" s="25">
        <f t="shared" si="4"/>
        <v>0</v>
      </c>
      <c r="S9" s="25">
        <f t="shared" si="4"/>
        <v>0</v>
      </c>
      <c r="T9" s="25">
        <f t="shared" si="4"/>
        <v>0</v>
      </c>
      <c r="U9" s="25">
        <f t="shared" si="4"/>
        <v>0</v>
      </c>
      <c r="V9" s="25">
        <f t="shared" si="4"/>
        <v>0</v>
      </c>
      <c r="W9" s="25">
        <f t="shared" si="4"/>
        <v>0</v>
      </c>
      <c r="X9" s="25">
        <f t="shared" si="4"/>
        <v>0</v>
      </c>
      <c r="Y9" s="25">
        <f t="shared" si="4"/>
        <v>0</v>
      </c>
      <c r="Z9" s="25">
        <f t="shared" si="4"/>
        <v>0</v>
      </c>
      <c r="AA9" s="25">
        <f t="shared" si="4"/>
        <v>0</v>
      </c>
      <c r="AB9" s="25">
        <f t="shared" si="4"/>
        <v>0</v>
      </c>
      <c r="AC9" s="25">
        <f t="shared" si="4"/>
        <v>0</v>
      </c>
    </row>
    <row r="10">
      <c r="A10" s="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8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30"/>
    </row>
    <row r="1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>
        <f t="shared" ref="N12:N14" si="5">sum(B12:M12)</f>
        <v>0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20">
        <f t="shared" ref="AC12:AC14" si="6">sum(Q12:AB12)</f>
        <v>0</v>
      </c>
    </row>
    <row r="13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>
        <f t="shared" si="5"/>
        <v>0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>
        <f t="shared" si="6"/>
        <v>0</v>
      </c>
    </row>
    <row r="14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5"/>
        <v>0</v>
      </c>
      <c r="O14" s="24"/>
      <c r="P14" s="24"/>
      <c r="Q14" s="24"/>
      <c r="R14" s="24" t="str">
        <f t="shared" ref="R14:AB14" si="7">Payroll!I27</f>
        <v>#REF!</v>
      </c>
      <c r="S14" s="24" t="str">
        <f t="shared" si="7"/>
        <v>#REF!</v>
      </c>
      <c r="T14" s="24" t="str">
        <f t="shared" si="7"/>
        <v>#REF!</v>
      </c>
      <c r="U14" s="24" t="str">
        <f t="shared" si="7"/>
        <v>#REF!</v>
      </c>
      <c r="V14" s="24" t="str">
        <f t="shared" si="7"/>
        <v>#REF!</v>
      </c>
      <c r="W14" s="24" t="str">
        <f t="shared" si="7"/>
        <v>#REF!</v>
      </c>
      <c r="X14" s="24" t="str">
        <f t="shared" si="7"/>
        <v>#REF!</v>
      </c>
      <c r="Y14" s="24" t="str">
        <f t="shared" si="7"/>
        <v>#REF!</v>
      </c>
      <c r="Z14" s="24" t="str">
        <f t="shared" si="7"/>
        <v>#REF!</v>
      </c>
      <c r="AA14" s="24" t="str">
        <f t="shared" si="7"/>
        <v>#REF!</v>
      </c>
      <c r="AB14" s="24" t="str">
        <f t="shared" si="7"/>
        <v>#REF!</v>
      </c>
      <c r="AC14" s="25" t="str">
        <f t="shared" si="6"/>
        <v>#REF!</v>
      </c>
    </row>
    <row r="15">
      <c r="A15" s="26"/>
      <c r="B15" s="23">
        <f t="shared" ref="B15:N15" si="8">sum(B12:B14)</f>
        <v>0</v>
      </c>
      <c r="C15" s="23">
        <f t="shared" si="8"/>
        <v>0</v>
      </c>
      <c r="D15" s="23">
        <f t="shared" si="8"/>
        <v>0</v>
      </c>
      <c r="E15" s="23">
        <f t="shared" si="8"/>
        <v>0</v>
      </c>
      <c r="F15" s="23">
        <f t="shared" si="8"/>
        <v>0</v>
      </c>
      <c r="G15" s="23">
        <f t="shared" si="8"/>
        <v>0</v>
      </c>
      <c r="H15" s="23">
        <f t="shared" si="8"/>
        <v>0</v>
      </c>
      <c r="I15" s="23">
        <f t="shared" si="8"/>
        <v>0</v>
      </c>
      <c r="J15" s="23">
        <f t="shared" si="8"/>
        <v>0</v>
      </c>
      <c r="K15" s="23">
        <f t="shared" si="8"/>
        <v>0</v>
      </c>
      <c r="L15" s="23">
        <f t="shared" si="8"/>
        <v>0</v>
      </c>
      <c r="M15" s="23">
        <f t="shared" si="8"/>
        <v>0</v>
      </c>
      <c r="N15" s="23">
        <f t="shared" si="8"/>
        <v>0</v>
      </c>
      <c r="O15" s="25"/>
      <c r="P15" s="25"/>
      <c r="Q15" s="25">
        <f t="shared" ref="Q15:AC15" si="9">sum(Q12:Q14)</f>
        <v>0</v>
      </c>
      <c r="R15" s="25" t="str">
        <f t="shared" si="9"/>
        <v>#REF!</v>
      </c>
      <c r="S15" s="25" t="str">
        <f t="shared" si="9"/>
        <v>#REF!</v>
      </c>
      <c r="T15" s="25" t="str">
        <f t="shared" si="9"/>
        <v>#REF!</v>
      </c>
      <c r="U15" s="25" t="str">
        <f t="shared" si="9"/>
        <v>#REF!</v>
      </c>
      <c r="V15" s="25" t="str">
        <f t="shared" si="9"/>
        <v>#REF!</v>
      </c>
      <c r="W15" s="25" t="str">
        <f t="shared" si="9"/>
        <v>#REF!</v>
      </c>
      <c r="X15" s="25" t="str">
        <f t="shared" si="9"/>
        <v>#REF!</v>
      </c>
      <c r="Y15" s="25" t="str">
        <f t="shared" si="9"/>
        <v>#REF!</v>
      </c>
      <c r="Z15" s="25" t="str">
        <f t="shared" si="9"/>
        <v>#REF!</v>
      </c>
      <c r="AA15" s="25" t="str">
        <f t="shared" si="9"/>
        <v>#REF!</v>
      </c>
      <c r="AB15" s="25" t="str">
        <f t="shared" si="9"/>
        <v>#REF!</v>
      </c>
      <c r="AC15" s="25" t="str">
        <f t="shared" si="9"/>
        <v>#REF!</v>
      </c>
    </row>
    <row r="16">
      <c r="A16" s="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8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30"/>
    </row>
    <row r="17">
      <c r="A17" s="31"/>
      <c r="B17" s="32">
        <f t="shared" ref="B17:N17" si="10">B9-B15</f>
        <v>0</v>
      </c>
      <c r="C17" s="32">
        <f t="shared" si="10"/>
        <v>0</v>
      </c>
      <c r="D17" s="32">
        <f t="shared" si="10"/>
        <v>0</v>
      </c>
      <c r="E17" s="32">
        <f t="shared" si="10"/>
        <v>0</v>
      </c>
      <c r="F17" s="32">
        <f t="shared" si="10"/>
        <v>0</v>
      </c>
      <c r="G17" s="32">
        <f t="shared" si="10"/>
        <v>0</v>
      </c>
      <c r="H17" s="32">
        <f t="shared" si="10"/>
        <v>0</v>
      </c>
      <c r="I17" s="32">
        <f t="shared" si="10"/>
        <v>0</v>
      </c>
      <c r="J17" s="32">
        <f t="shared" si="10"/>
        <v>0</v>
      </c>
      <c r="K17" s="32">
        <f t="shared" si="10"/>
        <v>0</v>
      </c>
      <c r="L17" s="32">
        <f t="shared" si="10"/>
        <v>0</v>
      </c>
      <c r="M17" s="32">
        <f t="shared" si="10"/>
        <v>0</v>
      </c>
      <c r="N17" s="32">
        <f t="shared" si="10"/>
        <v>0</v>
      </c>
      <c r="O17" s="33"/>
      <c r="P17" s="33"/>
      <c r="Q17" s="33">
        <f t="shared" ref="Q17:AC17" si="11">Q9-Q15</f>
        <v>0</v>
      </c>
      <c r="R17" s="33" t="str">
        <f t="shared" si="11"/>
        <v>#REF!</v>
      </c>
      <c r="S17" s="33" t="str">
        <f t="shared" si="11"/>
        <v>#REF!</v>
      </c>
      <c r="T17" s="33" t="str">
        <f t="shared" si="11"/>
        <v>#REF!</v>
      </c>
      <c r="U17" s="33" t="str">
        <f t="shared" si="11"/>
        <v>#REF!</v>
      </c>
      <c r="V17" s="33" t="str">
        <f t="shared" si="11"/>
        <v>#REF!</v>
      </c>
      <c r="W17" s="33" t="str">
        <f t="shared" si="11"/>
        <v>#REF!</v>
      </c>
      <c r="X17" s="33" t="str">
        <f t="shared" si="11"/>
        <v>#REF!</v>
      </c>
      <c r="Y17" s="33" t="str">
        <f t="shared" si="11"/>
        <v>#REF!</v>
      </c>
      <c r="Z17" s="33" t="str">
        <f t="shared" si="11"/>
        <v>#REF!</v>
      </c>
      <c r="AA17" s="33" t="str">
        <f t="shared" si="11"/>
        <v>#REF!</v>
      </c>
      <c r="AB17" s="33" t="str">
        <f t="shared" si="11"/>
        <v>#REF!</v>
      </c>
      <c r="AC17" s="33" t="str">
        <f t="shared" si="11"/>
        <v>#REF!</v>
      </c>
    </row>
    <row r="18">
      <c r="A18" s="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8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30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>
        <f t="shared" ref="N20:N48" si="12">sum(B20:M20)</f>
        <v>0</v>
      </c>
      <c r="O20" s="34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20">
        <f t="shared" ref="AC20:AC48" si="13">sum(Q20:AB20)</f>
        <v>0</v>
      </c>
    </row>
    <row r="21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12"/>
        <v>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>
        <f t="shared" si="13"/>
        <v>0</v>
      </c>
    </row>
    <row r="2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12"/>
        <v>0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5">
        <f t="shared" si="13"/>
        <v>0</v>
      </c>
    </row>
    <row r="23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>
        <f t="shared" si="12"/>
        <v>0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5">
        <f t="shared" si="13"/>
        <v>0</v>
      </c>
    </row>
    <row r="24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si="12"/>
        <v>0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5">
        <f t="shared" si="13"/>
        <v>0</v>
      </c>
    </row>
    <row r="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>
        <f t="shared" si="12"/>
        <v>0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5">
        <f t="shared" si="13"/>
        <v>0</v>
      </c>
    </row>
    <row r="26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>
        <f t="shared" si="12"/>
        <v>0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5">
        <f t="shared" si="13"/>
        <v>0</v>
      </c>
    </row>
    <row r="27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>
        <f t="shared" si="12"/>
        <v>0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5">
        <f t="shared" si="13"/>
        <v>0</v>
      </c>
    </row>
    <row r="28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>
        <f t="shared" si="12"/>
        <v>0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5">
        <f t="shared" si="13"/>
        <v>0</v>
      </c>
    </row>
    <row r="29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>
        <f t="shared" si="12"/>
        <v>0</v>
      </c>
      <c r="O29" s="24"/>
      <c r="P29" s="35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5">
        <f t="shared" si="13"/>
        <v>0</v>
      </c>
    </row>
    <row r="30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>
        <f t="shared" si="12"/>
        <v>0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5">
        <f t="shared" si="13"/>
        <v>0</v>
      </c>
    </row>
    <row r="31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>
        <f t="shared" si="12"/>
        <v>0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5">
        <f t="shared" si="13"/>
        <v>0</v>
      </c>
    </row>
    <row r="32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>
        <f t="shared" si="12"/>
        <v>0</v>
      </c>
      <c r="O32" s="24"/>
      <c r="P32" s="24"/>
      <c r="Q32" s="24" t="str">
        <f t="shared" ref="Q32:AB32" si="14">$P32</f>
        <v/>
      </c>
      <c r="R32" s="24" t="str">
        <f t="shared" si="14"/>
        <v/>
      </c>
      <c r="S32" s="24" t="str">
        <f t="shared" si="14"/>
        <v/>
      </c>
      <c r="T32" s="24" t="str">
        <f t="shared" si="14"/>
        <v/>
      </c>
      <c r="U32" s="24" t="str">
        <f t="shared" si="14"/>
        <v/>
      </c>
      <c r="V32" s="24" t="str">
        <f t="shared" si="14"/>
        <v/>
      </c>
      <c r="W32" s="24" t="str">
        <f t="shared" si="14"/>
        <v/>
      </c>
      <c r="X32" s="24" t="str">
        <f t="shared" si="14"/>
        <v/>
      </c>
      <c r="Y32" s="24" t="str">
        <f t="shared" si="14"/>
        <v/>
      </c>
      <c r="Z32" s="24" t="str">
        <f t="shared" si="14"/>
        <v/>
      </c>
      <c r="AA32" s="24" t="str">
        <f t="shared" si="14"/>
        <v/>
      </c>
      <c r="AB32" s="24" t="str">
        <f t="shared" si="14"/>
        <v/>
      </c>
      <c r="AC32" s="25">
        <f t="shared" si="13"/>
        <v>0</v>
      </c>
    </row>
    <row r="33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>
        <f t="shared" si="12"/>
        <v>0</v>
      </c>
      <c r="O33" s="24"/>
      <c r="P33" s="24"/>
      <c r="Q33" s="24" t="str">
        <f t="shared" ref="Q33:AB33" si="15">$P33</f>
        <v/>
      </c>
      <c r="R33" s="24" t="str">
        <f t="shared" si="15"/>
        <v/>
      </c>
      <c r="S33" s="24" t="str">
        <f t="shared" si="15"/>
        <v/>
      </c>
      <c r="T33" s="24" t="str">
        <f t="shared" si="15"/>
        <v/>
      </c>
      <c r="U33" s="24" t="str">
        <f t="shared" si="15"/>
        <v/>
      </c>
      <c r="V33" s="24" t="str">
        <f t="shared" si="15"/>
        <v/>
      </c>
      <c r="W33" s="24" t="str">
        <f t="shared" si="15"/>
        <v/>
      </c>
      <c r="X33" s="24" t="str">
        <f t="shared" si="15"/>
        <v/>
      </c>
      <c r="Y33" s="24" t="str">
        <f t="shared" si="15"/>
        <v/>
      </c>
      <c r="Z33" s="24" t="str">
        <f t="shared" si="15"/>
        <v/>
      </c>
      <c r="AA33" s="24" t="str">
        <f t="shared" si="15"/>
        <v/>
      </c>
      <c r="AB33" s="24" t="str">
        <f t="shared" si="15"/>
        <v/>
      </c>
      <c r="AC33" s="25">
        <f t="shared" si="13"/>
        <v>0</v>
      </c>
    </row>
    <row r="34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>
        <f t="shared" si="12"/>
        <v>0</v>
      </c>
      <c r="O34" s="24"/>
      <c r="P34" s="24"/>
      <c r="Q34" s="24" t="str">
        <f t="shared" ref="Q34:AB34" si="16">$P34</f>
        <v/>
      </c>
      <c r="R34" s="24" t="str">
        <f t="shared" si="16"/>
        <v/>
      </c>
      <c r="S34" s="24" t="str">
        <f t="shared" si="16"/>
        <v/>
      </c>
      <c r="T34" s="24" t="str">
        <f t="shared" si="16"/>
        <v/>
      </c>
      <c r="U34" s="24" t="str">
        <f t="shared" si="16"/>
        <v/>
      </c>
      <c r="V34" s="24" t="str">
        <f t="shared" si="16"/>
        <v/>
      </c>
      <c r="W34" s="24" t="str">
        <f t="shared" si="16"/>
        <v/>
      </c>
      <c r="X34" s="24" t="str">
        <f t="shared" si="16"/>
        <v/>
      </c>
      <c r="Y34" s="24" t="str">
        <f t="shared" si="16"/>
        <v/>
      </c>
      <c r="Z34" s="24" t="str">
        <f t="shared" si="16"/>
        <v/>
      </c>
      <c r="AA34" s="24" t="str">
        <f t="shared" si="16"/>
        <v/>
      </c>
      <c r="AB34" s="24" t="str">
        <f t="shared" si="16"/>
        <v/>
      </c>
      <c r="AC34" s="25">
        <f t="shared" si="13"/>
        <v>0</v>
      </c>
    </row>
    <row r="35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>
        <f t="shared" si="12"/>
        <v>0</v>
      </c>
      <c r="O35" s="24"/>
      <c r="P35" s="24"/>
      <c r="Q35" s="24" t="str">
        <f t="shared" ref="Q35:AB35" si="17">$P35</f>
        <v/>
      </c>
      <c r="R35" s="24" t="str">
        <f t="shared" si="17"/>
        <v/>
      </c>
      <c r="S35" s="24" t="str">
        <f t="shared" si="17"/>
        <v/>
      </c>
      <c r="T35" s="24" t="str">
        <f t="shared" si="17"/>
        <v/>
      </c>
      <c r="U35" s="24" t="str">
        <f t="shared" si="17"/>
        <v/>
      </c>
      <c r="V35" s="24" t="str">
        <f t="shared" si="17"/>
        <v/>
      </c>
      <c r="W35" s="24" t="str">
        <f t="shared" si="17"/>
        <v/>
      </c>
      <c r="X35" s="24" t="str">
        <f t="shared" si="17"/>
        <v/>
      </c>
      <c r="Y35" s="24" t="str">
        <f t="shared" si="17"/>
        <v/>
      </c>
      <c r="Z35" s="24" t="str">
        <f t="shared" si="17"/>
        <v/>
      </c>
      <c r="AA35" s="24" t="str">
        <f t="shared" si="17"/>
        <v/>
      </c>
      <c r="AB35" s="24" t="str">
        <f t="shared" si="17"/>
        <v/>
      </c>
      <c r="AC35" s="25">
        <f t="shared" si="13"/>
        <v>0</v>
      </c>
    </row>
    <row r="36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>
        <f t="shared" si="12"/>
        <v>0</v>
      </c>
      <c r="O36" s="24"/>
      <c r="P36" s="24"/>
      <c r="Q36" s="24" t="str">
        <f t="shared" ref="Q36:AB36" si="18">$P36</f>
        <v/>
      </c>
      <c r="R36" s="24" t="str">
        <f t="shared" si="18"/>
        <v/>
      </c>
      <c r="S36" s="24" t="str">
        <f t="shared" si="18"/>
        <v/>
      </c>
      <c r="T36" s="24" t="str">
        <f t="shared" si="18"/>
        <v/>
      </c>
      <c r="U36" s="24" t="str">
        <f t="shared" si="18"/>
        <v/>
      </c>
      <c r="V36" s="24" t="str">
        <f t="shared" si="18"/>
        <v/>
      </c>
      <c r="W36" s="24" t="str">
        <f t="shared" si="18"/>
        <v/>
      </c>
      <c r="X36" s="24" t="str">
        <f t="shared" si="18"/>
        <v/>
      </c>
      <c r="Y36" s="24" t="str">
        <f t="shared" si="18"/>
        <v/>
      </c>
      <c r="Z36" s="24" t="str">
        <f t="shared" si="18"/>
        <v/>
      </c>
      <c r="AA36" s="24" t="str">
        <f t="shared" si="18"/>
        <v/>
      </c>
      <c r="AB36" s="24" t="str">
        <f t="shared" si="18"/>
        <v/>
      </c>
      <c r="AC36" s="25">
        <f t="shared" si="13"/>
        <v>0</v>
      </c>
    </row>
    <row r="37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>
        <f t="shared" si="12"/>
        <v>0</v>
      </c>
      <c r="O37" s="24"/>
      <c r="P37" s="24"/>
      <c r="Q37" s="24" t="str">
        <f t="shared" ref="Q37:AB37" si="19">$P37</f>
        <v/>
      </c>
      <c r="R37" s="24" t="str">
        <f t="shared" si="19"/>
        <v/>
      </c>
      <c r="S37" s="24" t="str">
        <f t="shared" si="19"/>
        <v/>
      </c>
      <c r="T37" s="24" t="str">
        <f t="shared" si="19"/>
        <v/>
      </c>
      <c r="U37" s="24" t="str">
        <f t="shared" si="19"/>
        <v/>
      </c>
      <c r="V37" s="24" t="str">
        <f t="shared" si="19"/>
        <v/>
      </c>
      <c r="W37" s="24" t="str">
        <f t="shared" si="19"/>
        <v/>
      </c>
      <c r="X37" s="24" t="str">
        <f t="shared" si="19"/>
        <v/>
      </c>
      <c r="Y37" s="24" t="str">
        <f t="shared" si="19"/>
        <v/>
      </c>
      <c r="Z37" s="24" t="str">
        <f t="shared" si="19"/>
        <v/>
      </c>
      <c r="AA37" s="24" t="str">
        <f t="shared" si="19"/>
        <v/>
      </c>
      <c r="AB37" s="24" t="str">
        <f t="shared" si="19"/>
        <v/>
      </c>
      <c r="AC37" s="25">
        <f t="shared" si="13"/>
        <v>0</v>
      </c>
    </row>
    <row r="38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>
        <f t="shared" si="12"/>
        <v>0</v>
      </c>
      <c r="O38" s="24"/>
      <c r="P38" s="24"/>
      <c r="Q38" s="24" t="str">
        <f t="shared" ref="Q38:AB38" si="20">$P38</f>
        <v/>
      </c>
      <c r="R38" s="24" t="str">
        <f t="shared" si="20"/>
        <v/>
      </c>
      <c r="S38" s="24" t="str">
        <f t="shared" si="20"/>
        <v/>
      </c>
      <c r="T38" s="24" t="str">
        <f t="shared" si="20"/>
        <v/>
      </c>
      <c r="U38" s="24" t="str">
        <f t="shared" si="20"/>
        <v/>
      </c>
      <c r="V38" s="24" t="str">
        <f t="shared" si="20"/>
        <v/>
      </c>
      <c r="W38" s="24" t="str">
        <f t="shared" si="20"/>
        <v/>
      </c>
      <c r="X38" s="24" t="str">
        <f t="shared" si="20"/>
        <v/>
      </c>
      <c r="Y38" s="24" t="str">
        <f t="shared" si="20"/>
        <v/>
      </c>
      <c r="Z38" s="24" t="str">
        <f t="shared" si="20"/>
        <v/>
      </c>
      <c r="AA38" s="24" t="str">
        <f t="shared" si="20"/>
        <v/>
      </c>
      <c r="AB38" s="24" t="str">
        <f t="shared" si="20"/>
        <v/>
      </c>
      <c r="AC38" s="25">
        <f t="shared" si="13"/>
        <v>0</v>
      </c>
    </row>
    <row r="39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>
        <f t="shared" si="12"/>
        <v>0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5">
        <f t="shared" si="13"/>
        <v>0</v>
      </c>
    </row>
    <row r="40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>
        <f t="shared" si="12"/>
        <v>0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5">
        <f t="shared" si="13"/>
        <v>0</v>
      </c>
    </row>
    <row r="41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>
        <f t="shared" si="12"/>
        <v>0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5">
        <f t="shared" si="13"/>
        <v>0</v>
      </c>
    </row>
    <row r="42">
      <c r="A42" s="21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>
        <f t="shared" si="12"/>
        <v>0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5">
        <f t="shared" si="13"/>
        <v>0</v>
      </c>
    </row>
    <row r="43">
      <c r="A43" s="21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>
        <f t="shared" si="12"/>
        <v>0</v>
      </c>
      <c r="O43" s="24"/>
      <c r="P43" s="35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5">
        <f t="shared" si="13"/>
        <v>0</v>
      </c>
    </row>
    <row r="44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>
        <f t="shared" si="12"/>
        <v>0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5">
        <f t="shared" si="13"/>
        <v>0</v>
      </c>
    </row>
    <row r="4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>
        <f t="shared" si="12"/>
        <v>0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5">
        <f t="shared" si="13"/>
        <v>0</v>
      </c>
    </row>
    <row r="46">
      <c r="A46" s="21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>
        <f t="shared" si="12"/>
        <v>0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5">
        <f t="shared" si="13"/>
        <v>0</v>
      </c>
    </row>
    <row r="47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>
        <f t="shared" si="12"/>
        <v>0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5">
        <f t="shared" si="13"/>
        <v>0</v>
      </c>
    </row>
    <row r="48">
      <c r="A48" s="21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>
        <f t="shared" si="12"/>
        <v>0</v>
      </c>
      <c r="O48" s="24"/>
      <c r="P48" s="24"/>
      <c r="Q48" s="24" t="str">
        <f t="shared" ref="Q48:AB48" si="21">$P48</f>
        <v/>
      </c>
      <c r="R48" s="24" t="str">
        <f t="shared" si="21"/>
        <v/>
      </c>
      <c r="S48" s="24" t="str">
        <f t="shared" si="21"/>
        <v/>
      </c>
      <c r="T48" s="24" t="str">
        <f t="shared" si="21"/>
        <v/>
      </c>
      <c r="U48" s="24" t="str">
        <f t="shared" si="21"/>
        <v/>
      </c>
      <c r="V48" s="24" t="str">
        <f t="shared" si="21"/>
        <v/>
      </c>
      <c r="W48" s="24" t="str">
        <f t="shared" si="21"/>
        <v/>
      </c>
      <c r="X48" s="24" t="str">
        <f t="shared" si="21"/>
        <v/>
      </c>
      <c r="Y48" s="24" t="str">
        <f t="shared" si="21"/>
        <v/>
      </c>
      <c r="Z48" s="24" t="str">
        <f t="shared" si="21"/>
        <v/>
      </c>
      <c r="AA48" s="24" t="str">
        <f t="shared" si="21"/>
        <v/>
      </c>
      <c r="AB48" s="24" t="str">
        <f t="shared" si="21"/>
        <v/>
      </c>
      <c r="AC48" s="25">
        <f t="shared" si="13"/>
        <v>0</v>
      </c>
    </row>
    <row r="49">
      <c r="A49" s="26"/>
      <c r="B49" s="23">
        <f t="shared" ref="B49:N49" si="22">sum(B20:B48)</f>
        <v>0</v>
      </c>
      <c r="C49" s="23">
        <f t="shared" si="22"/>
        <v>0</v>
      </c>
      <c r="D49" s="23">
        <f t="shared" si="22"/>
        <v>0</v>
      </c>
      <c r="E49" s="23">
        <f t="shared" si="22"/>
        <v>0</v>
      </c>
      <c r="F49" s="23">
        <f t="shared" si="22"/>
        <v>0</v>
      </c>
      <c r="G49" s="23">
        <f t="shared" si="22"/>
        <v>0</v>
      </c>
      <c r="H49" s="23">
        <f t="shared" si="22"/>
        <v>0</v>
      </c>
      <c r="I49" s="23">
        <f t="shared" si="22"/>
        <v>0</v>
      </c>
      <c r="J49" s="23">
        <f t="shared" si="22"/>
        <v>0</v>
      </c>
      <c r="K49" s="23">
        <f t="shared" si="22"/>
        <v>0</v>
      </c>
      <c r="L49" s="23">
        <f t="shared" si="22"/>
        <v>0</v>
      </c>
      <c r="M49" s="23">
        <f t="shared" si="22"/>
        <v>0</v>
      </c>
      <c r="N49" s="23">
        <f t="shared" si="22"/>
        <v>0</v>
      </c>
      <c r="O49" s="25"/>
      <c r="P49" s="25"/>
      <c r="Q49" s="25">
        <f t="shared" ref="Q49:AC49" si="23">sum(Q20:Q48)</f>
        <v>0</v>
      </c>
      <c r="R49" s="25">
        <f t="shared" si="23"/>
        <v>0</v>
      </c>
      <c r="S49" s="25">
        <f t="shared" si="23"/>
        <v>0</v>
      </c>
      <c r="T49" s="25">
        <f t="shared" si="23"/>
        <v>0</v>
      </c>
      <c r="U49" s="25">
        <f t="shared" si="23"/>
        <v>0</v>
      </c>
      <c r="V49" s="25">
        <f t="shared" si="23"/>
        <v>0</v>
      </c>
      <c r="W49" s="25">
        <f t="shared" si="23"/>
        <v>0</v>
      </c>
      <c r="X49" s="25">
        <f t="shared" si="23"/>
        <v>0</v>
      </c>
      <c r="Y49" s="25">
        <f t="shared" si="23"/>
        <v>0</v>
      </c>
      <c r="Z49" s="25">
        <f t="shared" si="23"/>
        <v>0</v>
      </c>
      <c r="AA49" s="25">
        <f t="shared" si="23"/>
        <v>0</v>
      </c>
      <c r="AB49" s="25">
        <f t="shared" si="23"/>
        <v>0</v>
      </c>
      <c r="AC49" s="25">
        <f t="shared" si="23"/>
        <v>0</v>
      </c>
    </row>
    <row r="50">
      <c r="A50" s="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8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30"/>
    </row>
    <row r="51">
      <c r="A51" s="31"/>
      <c r="B51" s="32">
        <f t="shared" ref="B51:N51" si="24">B17-B49</f>
        <v>0</v>
      </c>
      <c r="C51" s="32">
        <f t="shared" si="24"/>
        <v>0</v>
      </c>
      <c r="D51" s="32">
        <f t="shared" si="24"/>
        <v>0</v>
      </c>
      <c r="E51" s="32">
        <f t="shared" si="24"/>
        <v>0</v>
      </c>
      <c r="F51" s="32">
        <f t="shared" si="24"/>
        <v>0</v>
      </c>
      <c r="G51" s="32">
        <f t="shared" si="24"/>
        <v>0</v>
      </c>
      <c r="H51" s="32">
        <f t="shared" si="24"/>
        <v>0</v>
      </c>
      <c r="I51" s="32">
        <f t="shared" si="24"/>
        <v>0</v>
      </c>
      <c r="J51" s="32">
        <f t="shared" si="24"/>
        <v>0</v>
      </c>
      <c r="K51" s="32">
        <f t="shared" si="24"/>
        <v>0</v>
      </c>
      <c r="L51" s="32">
        <f t="shared" si="24"/>
        <v>0</v>
      </c>
      <c r="M51" s="32">
        <f t="shared" si="24"/>
        <v>0</v>
      </c>
      <c r="N51" s="32">
        <f t="shared" si="24"/>
        <v>0</v>
      </c>
      <c r="O51" s="33"/>
      <c r="P51" s="33"/>
      <c r="Q51" s="33">
        <f t="shared" ref="Q51:AC51" si="25">Q17-Q49</f>
        <v>0</v>
      </c>
      <c r="R51" s="33" t="str">
        <f t="shared" si="25"/>
        <v>#REF!</v>
      </c>
      <c r="S51" s="33" t="str">
        <f t="shared" si="25"/>
        <v>#REF!</v>
      </c>
      <c r="T51" s="33" t="str">
        <f t="shared" si="25"/>
        <v>#REF!</v>
      </c>
      <c r="U51" s="33" t="str">
        <f t="shared" si="25"/>
        <v>#REF!</v>
      </c>
      <c r="V51" s="33" t="str">
        <f t="shared" si="25"/>
        <v>#REF!</v>
      </c>
      <c r="W51" s="33" t="str">
        <f t="shared" si="25"/>
        <v>#REF!</v>
      </c>
      <c r="X51" s="33" t="str">
        <f t="shared" si="25"/>
        <v>#REF!</v>
      </c>
      <c r="Y51" s="33" t="str">
        <f t="shared" si="25"/>
        <v>#REF!</v>
      </c>
      <c r="Z51" s="33" t="str">
        <f t="shared" si="25"/>
        <v>#REF!</v>
      </c>
      <c r="AA51" s="33" t="str">
        <f t="shared" si="25"/>
        <v>#REF!</v>
      </c>
      <c r="AB51" s="33" t="str">
        <f t="shared" si="25"/>
        <v>#REF!</v>
      </c>
      <c r="AC51" s="33" t="str">
        <f t="shared" si="25"/>
        <v>#REF!</v>
      </c>
    </row>
    <row r="52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8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8"/>
    </row>
    <row r="53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8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8"/>
    </row>
    <row r="54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8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8"/>
    </row>
    <row r="5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8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8"/>
    </row>
    <row r="56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8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8"/>
    </row>
    <row r="57">
      <c r="A57" s="36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8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8"/>
    </row>
    <row r="58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8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8"/>
    </row>
    <row r="59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8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8"/>
    </row>
    <row r="60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8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8"/>
    </row>
    <row r="6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8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8"/>
    </row>
    <row r="62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8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8"/>
    </row>
    <row r="63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8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8"/>
    </row>
    <row r="64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8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8"/>
    </row>
    <row r="65">
      <c r="A65" s="36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8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8"/>
    </row>
    <row r="66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8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8"/>
    </row>
    <row r="67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8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8"/>
    </row>
    <row r="68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8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8"/>
    </row>
    <row r="69">
      <c r="A69" s="36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8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8"/>
    </row>
    <row r="70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8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8"/>
    </row>
    <row r="71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8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8"/>
    </row>
    <row r="72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8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8"/>
    </row>
    <row r="73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8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8"/>
    </row>
    <row r="74">
      <c r="A74" s="36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40"/>
    </row>
    <row r="75">
      <c r="A75" s="36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40"/>
    </row>
    <row r="76">
      <c r="A76" s="36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40"/>
    </row>
    <row r="77">
      <c r="A77" s="36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40"/>
    </row>
    <row r="78">
      <c r="A78" s="36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40"/>
    </row>
    <row r="79">
      <c r="A79" s="36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40"/>
    </row>
    <row r="80">
      <c r="A80" s="36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40"/>
    </row>
    <row r="81">
      <c r="A81" s="36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40"/>
    </row>
    <row r="82">
      <c r="A82" s="36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40"/>
    </row>
    <row r="83">
      <c r="A83" s="36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40"/>
    </row>
    <row r="84">
      <c r="A84" s="36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40"/>
    </row>
    <row r="85">
      <c r="A85" s="36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40"/>
    </row>
    <row r="86">
      <c r="A86" s="36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40"/>
    </row>
    <row r="87">
      <c r="A87" s="36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40"/>
    </row>
    <row r="88">
      <c r="A88" s="36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40"/>
    </row>
    <row r="89">
      <c r="A89" s="36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40"/>
    </row>
    <row r="90">
      <c r="A90" s="36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40"/>
    </row>
    <row r="91">
      <c r="A91" s="36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40"/>
    </row>
    <row r="92">
      <c r="A92" s="36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40"/>
    </row>
    <row r="93">
      <c r="A93" s="36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40"/>
    </row>
    <row r="94">
      <c r="A94" s="36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40"/>
    </row>
    <row r="95">
      <c r="A95" s="36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40"/>
    </row>
    <row r="96">
      <c r="A96" s="36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40"/>
    </row>
    <row r="97">
      <c r="A97" s="36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40"/>
    </row>
    <row r="98">
      <c r="A98" s="36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40"/>
    </row>
    <row r="99">
      <c r="A99" s="36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40"/>
    </row>
    <row r="100">
      <c r="A100" s="36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40"/>
    </row>
    <row r="101">
      <c r="A101" s="36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40"/>
    </row>
    <row r="102">
      <c r="A102" s="36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40"/>
    </row>
    <row r="103">
      <c r="A103" s="36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40"/>
    </row>
    <row r="104">
      <c r="A104" s="36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40"/>
    </row>
    <row r="105">
      <c r="A105" s="36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40"/>
    </row>
    <row r="106">
      <c r="A106" s="36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40"/>
    </row>
    <row r="107">
      <c r="A107" s="36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40"/>
    </row>
    <row r="108">
      <c r="A108" s="36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40"/>
    </row>
    <row r="109">
      <c r="A109" s="36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40"/>
    </row>
    <row r="110">
      <c r="A110" s="36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40"/>
    </row>
    <row r="111">
      <c r="A111" s="36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40"/>
    </row>
    <row r="112">
      <c r="A112" s="36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40"/>
    </row>
    <row r="113">
      <c r="A113" s="36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40"/>
    </row>
    <row r="114">
      <c r="A114" s="36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40"/>
    </row>
    <row r="115">
      <c r="A115" s="36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40"/>
    </row>
    <row r="116">
      <c r="A116" s="36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40"/>
    </row>
    <row r="117">
      <c r="A117" s="36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40"/>
    </row>
    <row r="118">
      <c r="A118" s="36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40"/>
    </row>
    <row r="119">
      <c r="A119" s="36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40"/>
    </row>
    <row r="120">
      <c r="A120" s="36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40"/>
    </row>
    <row r="121">
      <c r="A121" s="36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40"/>
    </row>
    <row r="122">
      <c r="A122" s="36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40"/>
    </row>
    <row r="123">
      <c r="A123" s="36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40"/>
    </row>
    <row r="124">
      <c r="A124" s="36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40"/>
    </row>
    <row r="125">
      <c r="A125" s="36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40"/>
    </row>
    <row r="126">
      <c r="A126" s="36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40"/>
    </row>
    <row r="127">
      <c r="A127" s="36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40"/>
    </row>
    <row r="128">
      <c r="A128" s="36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40"/>
    </row>
    <row r="129">
      <c r="A129" s="36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40"/>
    </row>
    <row r="130">
      <c r="A130" s="36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40"/>
    </row>
    <row r="131">
      <c r="A131" s="36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40"/>
    </row>
    <row r="132">
      <c r="A132" s="36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40"/>
    </row>
    <row r="133">
      <c r="A133" s="36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40"/>
    </row>
    <row r="134">
      <c r="A134" s="36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40"/>
    </row>
    <row r="135">
      <c r="A135" s="36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40"/>
    </row>
    <row r="136">
      <c r="A136" s="36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40"/>
    </row>
    <row r="137">
      <c r="A137" s="36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40"/>
    </row>
    <row r="138">
      <c r="A138" s="36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40"/>
    </row>
    <row r="139">
      <c r="A139" s="36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40"/>
    </row>
    <row r="140">
      <c r="A140" s="36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40"/>
    </row>
    <row r="141">
      <c r="A141" s="36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40"/>
    </row>
    <row r="142">
      <c r="A142" s="36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40"/>
    </row>
    <row r="143">
      <c r="A143" s="36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40"/>
    </row>
    <row r="144">
      <c r="A144" s="36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40"/>
    </row>
    <row r="145">
      <c r="A145" s="36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40"/>
    </row>
    <row r="146">
      <c r="A146" s="36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40"/>
    </row>
    <row r="147">
      <c r="A147" s="36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40"/>
    </row>
    <row r="148">
      <c r="A148" s="36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40"/>
    </row>
    <row r="149">
      <c r="A149" s="36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40"/>
    </row>
    <row r="150">
      <c r="A150" s="36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40"/>
    </row>
    <row r="151">
      <c r="A151" s="36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40"/>
    </row>
    <row r="152">
      <c r="A152" s="36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40"/>
    </row>
    <row r="153">
      <c r="A153" s="36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40"/>
    </row>
    <row r="154">
      <c r="A154" s="36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40"/>
    </row>
    <row r="155">
      <c r="A155" s="36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40"/>
    </row>
    <row r="156">
      <c r="A156" s="36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40"/>
    </row>
    <row r="157">
      <c r="A157" s="36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40"/>
    </row>
    <row r="158">
      <c r="A158" s="36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40"/>
    </row>
    <row r="159">
      <c r="A159" s="36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40"/>
    </row>
    <row r="160">
      <c r="A160" s="36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40"/>
    </row>
    <row r="161">
      <c r="A161" s="36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40"/>
    </row>
    <row r="162">
      <c r="A162" s="36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40"/>
    </row>
    <row r="163">
      <c r="A163" s="36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40"/>
    </row>
    <row r="164">
      <c r="A164" s="36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40"/>
    </row>
    <row r="165">
      <c r="A165" s="36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40"/>
    </row>
    <row r="166">
      <c r="A166" s="36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40"/>
    </row>
    <row r="167">
      <c r="A167" s="36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40"/>
    </row>
    <row r="168">
      <c r="A168" s="36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40"/>
    </row>
    <row r="169">
      <c r="A169" s="36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40"/>
    </row>
    <row r="170">
      <c r="A170" s="36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40"/>
    </row>
    <row r="171">
      <c r="A171" s="36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40"/>
    </row>
    <row r="172">
      <c r="A172" s="36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40"/>
    </row>
    <row r="173">
      <c r="A173" s="36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40"/>
    </row>
    <row r="174">
      <c r="A174" s="36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40"/>
    </row>
    <row r="175">
      <c r="A175" s="36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40"/>
    </row>
    <row r="176">
      <c r="A176" s="36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40"/>
    </row>
    <row r="177">
      <c r="A177" s="36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40"/>
    </row>
    <row r="178">
      <c r="A178" s="36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40"/>
    </row>
    <row r="179">
      <c r="A179" s="36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40"/>
    </row>
    <row r="180">
      <c r="A180" s="36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40"/>
    </row>
    <row r="181">
      <c r="A181" s="36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40"/>
    </row>
    <row r="182">
      <c r="A182" s="36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40"/>
    </row>
    <row r="183">
      <c r="A183" s="36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40"/>
    </row>
    <row r="184">
      <c r="A184" s="36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40"/>
    </row>
    <row r="185">
      <c r="A185" s="36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40"/>
    </row>
    <row r="186">
      <c r="A186" s="36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40"/>
    </row>
    <row r="187">
      <c r="A187" s="36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40"/>
    </row>
    <row r="188">
      <c r="A188" s="36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40"/>
    </row>
    <row r="189">
      <c r="A189" s="36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40"/>
    </row>
    <row r="190">
      <c r="A190" s="36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40"/>
    </row>
    <row r="191">
      <c r="A191" s="36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40"/>
    </row>
    <row r="192">
      <c r="A192" s="36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40"/>
    </row>
    <row r="193">
      <c r="A193" s="36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40"/>
    </row>
    <row r="194">
      <c r="A194" s="36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40"/>
    </row>
    <row r="195">
      <c r="A195" s="36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40"/>
    </row>
    <row r="196">
      <c r="A196" s="36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40"/>
    </row>
    <row r="197">
      <c r="A197" s="36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40"/>
    </row>
    <row r="198">
      <c r="A198" s="36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40"/>
    </row>
    <row r="199">
      <c r="A199" s="36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40"/>
    </row>
    <row r="200">
      <c r="A200" s="36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40"/>
    </row>
    <row r="201">
      <c r="A201" s="36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40"/>
    </row>
    <row r="202">
      <c r="A202" s="36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40"/>
    </row>
    <row r="203">
      <c r="A203" s="36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40"/>
    </row>
    <row r="204">
      <c r="A204" s="36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40"/>
    </row>
    <row r="205">
      <c r="A205" s="36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40"/>
    </row>
    <row r="206">
      <c r="A206" s="36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40"/>
    </row>
    <row r="207">
      <c r="A207" s="36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40"/>
    </row>
    <row r="208">
      <c r="A208" s="36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40"/>
    </row>
    <row r="209">
      <c r="A209" s="36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40"/>
    </row>
    <row r="210">
      <c r="A210" s="36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40"/>
    </row>
    <row r="211">
      <c r="A211" s="36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40"/>
    </row>
    <row r="212">
      <c r="A212" s="36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40"/>
    </row>
    <row r="213">
      <c r="A213" s="36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40"/>
    </row>
    <row r="214">
      <c r="A214" s="36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40"/>
    </row>
    <row r="215">
      <c r="A215" s="36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40"/>
    </row>
    <row r="216">
      <c r="A216" s="36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40"/>
    </row>
    <row r="217">
      <c r="A217" s="36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40"/>
    </row>
    <row r="218">
      <c r="A218" s="36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40"/>
    </row>
    <row r="219">
      <c r="A219" s="36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40"/>
    </row>
    <row r="220">
      <c r="A220" s="36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40"/>
    </row>
    <row r="221">
      <c r="A221" s="36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40"/>
    </row>
    <row r="222">
      <c r="A222" s="36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40"/>
    </row>
    <row r="223">
      <c r="A223" s="36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40"/>
    </row>
    <row r="224">
      <c r="A224" s="36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40"/>
    </row>
    <row r="225">
      <c r="A225" s="36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40"/>
    </row>
    <row r="226">
      <c r="A226" s="36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40"/>
    </row>
    <row r="227">
      <c r="A227" s="36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40"/>
    </row>
    <row r="228">
      <c r="A228" s="36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40"/>
    </row>
    <row r="229">
      <c r="A229" s="36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40"/>
    </row>
    <row r="230">
      <c r="A230" s="36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40"/>
    </row>
    <row r="231">
      <c r="A231" s="36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40"/>
    </row>
    <row r="232">
      <c r="A232" s="36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40"/>
    </row>
    <row r="233">
      <c r="A233" s="36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40"/>
    </row>
    <row r="234">
      <c r="A234" s="36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40"/>
    </row>
    <row r="235">
      <c r="A235" s="36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40"/>
    </row>
    <row r="236">
      <c r="A236" s="36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40"/>
    </row>
    <row r="237">
      <c r="A237" s="36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40"/>
    </row>
    <row r="238">
      <c r="A238" s="36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40"/>
    </row>
    <row r="239">
      <c r="A239" s="36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40"/>
    </row>
    <row r="240">
      <c r="A240" s="36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40"/>
    </row>
    <row r="241">
      <c r="A241" s="36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40"/>
    </row>
    <row r="242">
      <c r="A242" s="36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40"/>
    </row>
    <row r="243">
      <c r="A243" s="36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40"/>
    </row>
    <row r="244">
      <c r="A244" s="36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40"/>
    </row>
    <row r="245">
      <c r="A245" s="36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40"/>
    </row>
    <row r="246">
      <c r="A246" s="36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40"/>
    </row>
    <row r="247">
      <c r="A247" s="36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40"/>
    </row>
    <row r="248">
      <c r="A248" s="36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40"/>
    </row>
    <row r="249">
      <c r="A249" s="36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40"/>
    </row>
    <row r="250">
      <c r="A250" s="36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40"/>
    </row>
    <row r="251">
      <c r="A251" s="36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40"/>
    </row>
    <row r="252">
      <c r="A252" s="36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40"/>
    </row>
    <row r="253">
      <c r="A253" s="36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40"/>
    </row>
    <row r="254">
      <c r="A254" s="36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40"/>
    </row>
    <row r="255">
      <c r="A255" s="36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40"/>
    </row>
    <row r="256">
      <c r="A256" s="36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40"/>
    </row>
    <row r="257">
      <c r="A257" s="36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40"/>
    </row>
    <row r="258">
      <c r="A258" s="36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40"/>
    </row>
    <row r="259">
      <c r="A259" s="36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40"/>
    </row>
    <row r="260">
      <c r="A260" s="36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40"/>
    </row>
    <row r="261">
      <c r="A261" s="36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40"/>
    </row>
    <row r="262">
      <c r="A262" s="36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40"/>
    </row>
    <row r="263">
      <c r="A263" s="36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40"/>
    </row>
    <row r="264">
      <c r="A264" s="36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40"/>
    </row>
    <row r="265">
      <c r="A265" s="36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40"/>
    </row>
    <row r="266">
      <c r="A266" s="36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40"/>
    </row>
    <row r="267">
      <c r="A267" s="36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40"/>
    </row>
    <row r="268">
      <c r="A268" s="36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40"/>
    </row>
    <row r="269">
      <c r="A269" s="36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40"/>
    </row>
    <row r="270">
      <c r="A270" s="36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40"/>
    </row>
    <row r="271">
      <c r="A271" s="36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40"/>
    </row>
    <row r="272">
      <c r="A272" s="36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40"/>
    </row>
    <row r="273">
      <c r="A273" s="36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40"/>
    </row>
    <row r="274">
      <c r="A274" s="36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40"/>
    </row>
    <row r="275">
      <c r="A275" s="36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40"/>
    </row>
    <row r="276">
      <c r="A276" s="36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40"/>
    </row>
    <row r="277">
      <c r="A277" s="36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40"/>
    </row>
    <row r="278">
      <c r="A278" s="36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40"/>
    </row>
    <row r="279">
      <c r="A279" s="36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40"/>
    </row>
    <row r="280">
      <c r="A280" s="36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40"/>
    </row>
    <row r="281">
      <c r="A281" s="36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40"/>
    </row>
    <row r="282">
      <c r="A282" s="36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40"/>
    </row>
    <row r="283">
      <c r="A283" s="36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40"/>
    </row>
    <row r="284">
      <c r="A284" s="36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40"/>
    </row>
    <row r="285">
      <c r="A285" s="36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40"/>
    </row>
    <row r="286">
      <c r="A286" s="36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40"/>
    </row>
    <row r="287">
      <c r="A287" s="36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40"/>
    </row>
    <row r="288">
      <c r="A288" s="36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40"/>
    </row>
    <row r="289">
      <c r="A289" s="36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40"/>
    </row>
    <row r="290">
      <c r="A290" s="36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40"/>
    </row>
    <row r="291">
      <c r="A291" s="36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40"/>
    </row>
    <row r="292">
      <c r="A292" s="36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40"/>
    </row>
    <row r="293">
      <c r="A293" s="36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40"/>
    </row>
    <row r="294">
      <c r="A294" s="36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40"/>
    </row>
    <row r="295">
      <c r="A295" s="36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40"/>
    </row>
    <row r="296">
      <c r="A296" s="36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40"/>
    </row>
    <row r="297">
      <c r="A297" s="36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40"/>
    </row>
    <row r="298">
      <c r="A298" s="36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40"/>
    </row>
    <row r="299">
      <c r="A299" s="36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40"/>
    </row>
    <row r="300">
      <c r="A300" s="36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40"/>
    </row>
    <row r="301">
      <c r="A301" s="36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40"/>
    </row>
    <row r="302">
      <c r="A302" s="36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40"/>
    </row>
    <row r="303">
      <c r="A303" s="36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40"/>
    </row>
    <row r="304">
      <c r="A304" s="36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40"/>
    </row>
    <row r="305">
      <c r="A305" s="36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40"/>
    </row>
    <row r="306">
      <c r="A306" s="36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40"/>
    </row>
    <row r="307">
      <c r="A307" s="36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40"/>
    </row>
    <row r="308">
      <c r="A308" s="36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40"/>
    </row>
    <row r="309">
      <c r="A309" s="36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40"/>
    </row>
    <row r="310">
      <c r="A310" s="36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40"/>
    </row>
    <row r="311">
      <c r="A311" s="36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40"/>
    </row>
    <row r="312">
      <c r="A312" s="36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40"/>
    </row>
    <row r="313">
      <c r="A313" s="36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40"/>
    </row>
    <row r="314">
      <c r="A314" s="36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40"/>
    </row>
    <row r="315">
      <c r="A315" s="36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40"/>
    </row>
    <row r="316">
      <c r="A316" s="36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40"/>
    </row>
    <row r="317">
      <c r="A317" s="36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40"/>
    </row>
    <row r="318">
      <c r="A318" s="36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40"/>
    </row>
    <row r="319">
      <c r="A319" s="36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40"/>
    </row>
    <row r="320">
      <c r="A320" s="36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40"/>
    </row>
    <row r="321">
      <c r="A321" s="36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40"/>
    </row>
    <row r="322">
      <c r="A322" s="36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40"/>
    </row>
    <row r="323">
      <c r="A323" s="36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40"/>
    </row>
    <row r="324">
      <c r="A324" s="36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40"/>
    </row>
    <row r="325">
      <c r="A325" s="36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40"/>
    </row>
    <row r="326">
      <c r="A326" s="36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40"/>
    </row>
    <row r="327">
      <c r="A327" s="36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40"/>
    </row>
    <row r="328">
      <c r="A328" s="36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40"/>
    </row>
    <row r="329">
      <c r="A329" s="36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40"/>
    </row>
    <row r="330">
      <c r="A330" s="36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40"/>
    </row>
    <row r="331">
      <c r="A331" s="36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40"/>
    </row>
    <row r="332">
      <c r="A332" s="36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40"/>
    </row>
    <row r="333">
      <c r="A333" s="36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40"/>
    </row>
    <row r="334">
      <c r="A334" s="36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40"/>
    </row>
    <row r="335">
      <c r="A335" s="36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40"/>
    </row>
    <row r="336">
      <c r="A336" s="36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40"/>
    </row>
    <row r="337">
      <c r="A337" s="36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40"/>
    </row>
    <row r="338">
      <c r="A338" s="36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40"/>
    </row>
    <row r="339">
      <c r="A339" s="36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40"/>
    </row>
    <row r="340">
      <c r="A340" s="36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40"/>
    </row>
    <row r="341">
      <c r="A341" s="36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40"/>
    </row>
    <row r="342">
      <c r="A342" s="36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40"/>
    </row>
    <row r="343">
      <c r="A343" s="36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40"/>
    </row>
    <row r="344">
      <c r="A344" s="36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40"/>
    </row>
    <row r="345">
      <c r="A345" s="36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40"/>
    </row>
    <row r="346">
      <c r="A346" s="36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40"/>
    </row>
    <row r="347">
      <c r="A347" s="36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40"/>
    </row>
    <row r="348">
      <c r="A348" s="36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40"/>
    </row>
    <row r="349">
      <c r="A349" s="36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40"/>
    </row>
    <row r="350">
      <c r="A350" s="36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40"/>
    </row>
    <row r="351">
      <c r="A351" s="36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40"/>
    </row>
    <row r="352">
      <c r="A352" s="36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40"/>
    </row>
    <row r="353">
      <c r="A353" s="36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40"/>
    </row>
    <row r="354">
      <c r="A354" s="36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40"/>
    </row>
    <row r="355">
      <c r="A355" s="36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40"/>
    </row>
    <row r="356">
      <c r="A356" s="36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40"/>
    </row>
    <row r="357">
      <c r="A357" s="36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40"/>
    </row>
    <row r="358">
      <c r="A358" s="36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40"/>
    </row>
    <row r="359">
      <c r="A359" s="36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40"/>
    </row>
    <row r="360">
      <c r="A360" s="36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40"/>
    </row>
    <row r="361">
      <c r="A361" s="36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40"/>
    </row>
    <row r="362">
      <c r="A362" s="36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40"/>
    </row>
    <row r="363">
      <c r="A363" s="36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40"/>
    </row>
    <row r="364">
      <c r="A364" s="36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40"/>
    </row>
    <row r="365">
      <c r="A365" s="36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40"/>
    </row>
    <row r="366">
      <c r="A366" s="36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40"/>
    </row>
    <row r="367">
      <c r="A367" s="36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40"/>
    </row>
    <row r="368">
      <c r="A368" s="36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40"/>
    </row>
    <row r="369">
      <c r="A369" s="36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40"/>
    </row>
    <row r="370">
      <c r="A370" s="36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40"/>
    </row>
    <row r="371">
      <c r="A371" s="36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40"/>
    </row>
    <row r="372">
      <c r="A372" s="36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40"/>
    </row>
    <row r="373">
      <c r="A373" s="36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40"/>
    </row>
    <row r="374">
      <c r="A374" s="36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40"/>
    </row>
    <row r="375">
      <c r="A375" s="36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40"/>
    </row>
    <row r="376">
      <c r="A376" s="36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40"/>
    </row>
    <row r="377">
      <c r="A377" s="36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40"/>
    </row>
    <row r="378">
      <c r="A378" s="36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40"/>
    </row>
    <row r="379">
      <c r="A379" s="36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40"/>
    </row>
    <row r="380">
      <c r="A380" s="36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40"/>
    </row>
    <row r="381">
      <c r="A381" s="36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40"/>
    </row>
    <row r="382">
      <c r="A382" s="36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40"/>
    </row>
    <row r="383">
      <c r="A383" s="36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40"/>
    </row>
    <row r="384">
      <c r="A384" s="36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40"/>
    </row>
    <row r="385">
      <c r="A385" s="36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40"/>
    </row>
    <row r="386">
      <c r="A386" s="36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40"/>
    </row>
    <row r="387">
      <c r="A387" s="36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40"/>
    </row>
    <row r="388">
      <c r="A388" s="36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40"/>
    </row>
    <row r="389">
      <c r="A389" s="36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40"/>
    </row>
    <row r="390">
      <c r="A390" s="36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40"/>
    </row>
    <row r="391">
      <c r="A391" s="36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40"/>
    </row>
    <row r="392">
      <c r="A392" s="36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40"/>
    </row>
    <row r="393">
      <c r="A393" s="36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40"/>
    </row>
    <row r="394">
      <c r="A394" s="36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40"/>
    </row>
    <row r="395">
      <c r="A395" s="36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40"/>
    </row>
    <row r="396">
      <c r="A396" s="36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40"/>
    </row>
    <row r="397">
      <c r="A397" s="36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40"/>
    </row>
    <row r="398">
      <c r="A398" s="36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40"/>
    </row>
    <row r="399">
      <c r="A399" s="36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40"/>
    </row>
    <row r="400">
      <c r="A400" s="36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40"/>
    </row>
    <row r="401">
      <c r="A401" s="36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40"/>
    </row>
    <row r="402">
      <c r="A402" s="36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40"/>
    </row>
    <row r="403">
      <c r="A403" s="36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40"/>
    </row>
    <row r="404">
      <c r="A404" s="36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40"/>
    </row>
    <row r="405">
      <c r="A405" s="36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40"/>
    </row>
    <row r="406">
      <c r="A406" s="36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40"/>
    </row>
    <row r="407">
      <c r="A407" s="36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40"/>
    </row>
    <row r="408">
      <c r="A408" s="36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40"/>
    </row>
    <row r="409">
      <c r="A409" s="36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40"/>
    </row>
    <row r="410">
      <c r="A410" s="36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40"/>
    </row>
    <row r="411">
      <c r="A411" s="36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40"/>
    </row>
    <row r="412">
      <c r="A412" s="36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40"/>
    </row>
    <row r="413">
      <c r="A413" s="36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40"/>
    </row>
    <row r="414">
      <c r="A414" s="36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40"/>
    </row>
    <row r="415">
      <c r="A415" s="36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40"/>
    </row>
    <row r="416">
      <c r="A416" s="36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40"/>
    </row>
    <row r="417">
      <c r="A417" s="36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40"/>
    </row>
    <row r="418">
      <c r="A418" s="36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40"/>
    </row>
    <row r="419">
      <c r="A419" s="36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40"/>
    </row>
    <row r="420">
      <c r="A420" s="36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40"/>
    </row>
    <row r="421">
      <c r="A421" s="36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40"/>
    </row>
    <row r="422">
      <c r="A422" s="36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40"/>
    </row>
    <row r="423">
      <c r="A423" s="36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40"/>
    </row>
    <row r="424">
      <c r="A424" s="36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40"/>
    </row>
    <row r="425">
      <c r="A425" s="36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40"/>
    </row>
    <row r="426">
      <c r="A426" s="36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40"/>
    </row>
    <row r="427">
      <c r="A427" s="36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40"/>
    </row>
    <row r="428">
      <c r="A428" s="36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40"/>
    </row>
    <row r="429">
      <c r="A429" s="36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40"/>
    </row>
    <row r="430">
      <c r="A430" s="36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40"/>
    </row>
    <row r="431">
      <c r="A431" s="36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40"/>
    </row>
    <row r="432">
      <c r="A432" s="36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40"/>
    </row>
    <row r="433">
      <c r="A433" s="36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40"/>
    </row>
    <row r="434">
      <c r="A434" s="36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40"/>
    </row>
    <row r="435">
      <c r="A435" s="36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40"/>
    </row>
    <row r="436">
      <c r="A436" s="36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40"/>
    </row>
    <row r="437">
      <c r="A437" s="36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40"/>
    </row>
    <row r="438">
      <c r="A438" s="36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40"/>
    </row>
    <row r="439">
      <c r="A439" s="36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40"/>
    </row>
    <row r="440">
      <c r="A440" s="36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40"/>
    </row>
    <row r="441">
      <c r="A441" s="36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40"/>
    </row>
    <row r="442">
      <c r="A442" s="36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40"/>
    </row>
    <row r="443">
      <c r="A443" s="36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40"/>
    </row>
    <row r="444">
      <c r="A444" s="36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40"/>
    </row>
    <row r="445">
      <c r="A445" s="36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40"/>
    </row>
    <row r="446">
      <c r="A446" s="36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40"/>
    </row>
    <row r="447">
      <c r="A447" s="36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40"/>
    </row>
    <row r="448">
      <c r="A448" s="36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40"/>
    </row>
    <row r="449">
      <c r="A449" s="36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40"/>
    </row>
    <row r="450">
      <c r="A450" s="36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40"/>
    </row>
    <row r="451">
      <c r="A451" s="36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40"/>
    </row>
    <row r="452">
      <c r="A452" s="36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40"/>
    </row>
    <row r="453">
      <c r="A453" s="36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40"/>
    </row>
    <row r="454">
      <c r="A454" s="36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40"/>
    </row>
    <row r="455">
      <c r="A455" s="36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40"/>
    </row>
    <row r="456">
      <c r="A456" s="36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40"/>
    </row>
    <row r="457">
      <c r="A457" s="36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40"/>
    </row>
    <row r="458">
      <c r="A458" s="36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40"/>
    </row>
    <row r="459">
      <c r="A459" s="36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40"/>
    </row>
    <row r="460">
      <c r="A460" s="36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40"/>
    </row>
    <row r="461">
      <c r="A461" s="36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40"/>
    </row>
    <row r="462">
      <c r="A462" s="36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40"/>
    </row>
    <row r="463">
      <c r="A463" s="36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40"/>
    </row>
    <row r="464">
      <c r="A464" s="36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40"/>
    </row>
    <row r="465">
      <c r="A465" s="36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40"/>
    </row>
    <row r="466">
      <c r="A466" s="36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40"/>
    </row>
    <row r="467">
      <c r="A467" s="36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40"/>
    </row>
    <row r="468">
      <c r="A468" s="36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40"/>
    </row>
    <row r="469">
      <c r="A469" s="36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40"/>
    </row>
    <row r="470">
      <c r="A470" s="36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40"/>
    </row>
    <row r="471">
      <c r="A471" s="36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40"/>
    </row>
    <row r="472">
      <c r="A472" s="36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40"/>
    </row>
    <row r="473">
      <c r="A473" s="36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40"/>
    </row>
    <row r="474">
      <c r="A474" s="36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40"/>
    </row>
    <row r="475">
      <c r="A475" s="36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40"/>
    </row>
    <row r="476">
      <c r="A476" s="36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40"/>
    </row>
    <row r="477">
      <c r="A477" s="36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40"/>
    </row>
    <row r="478">
      <c r="A478" s="36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40"/>
    </row>
    <row r="479">
      <c r="A479" s="36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40"/>
    </row>
    <row r="480">
      <c r="A480" s="36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40"/>
    </row>
    <row r="481">
      <c r="A481" s="36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40"/>
    </row>
    <row r="482">
      <c r="A482" s="36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40"/>
    </row>
    <row r="483">
      <c r="A483" s="36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40"/>
    </row>
    <row r="484">
      <c r="A484" s="36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40"/>
    </row>
    <row r="485">
      <c r="A485" s="36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40"/>
    </row>
    <row r="486">
      <c r="A486" s="36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40"/>
    </row>
    <row r="487">
      <c r="A487" s="36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40"/>
    </row>
    <row r="488">
      <c r="A488" s="36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40"/>
    </row>
    <row r="489">
      <c r="A489" s="36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40"/>
    </row>
    <row r="490">
      <c r="A490" s="36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40"/>
    </row>
    <row r="491">
      <c r="A491" s="36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40"/>
    </row>
    <row r="492">
      <c r="A492" s="36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40"/>
    </row>
    <row r="493">
      <c r="A493" s="36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40"/>
    </row>
    <row r="494">
      <c r="A494" s="36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40"/>
    </row>
    <row r="495">
      <c r="A495" s="36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40"/>
    </row>
    <row r="496">
      <c r="A496" s="36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40"/>
    </row>
    <row r="497">
      <c r="A497" s="36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40"/>
    </row>
    <row r="498">
      <c r="A498" s="36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40"/>
    </row>
    <row r="499">
      <c r="A499" s="36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40"/>
    </row>
    <row r="500">
      <c r="A500" s="36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40"/>
    </row>
    <row r="501">
      <c r="A501" s="36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40"/>
    </row>
    <row r="502">
      <c r="A502" s="36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40"/>
    </row>
    <row r="503">
      <c r="A503" s="36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40"/>
    </row>
    <row r="504">
      <c r="A504" s="36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40"/>
    </row>
    <row r="505">
      <c r="A505" s="36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40"/>
    </row>
    <row r="506">
      <c r="A506" s="36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40"/>
    </row>
    <row r="507">
      <c r="A507" s="36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40"/>
    </row>
    <row r="508">
      <c r="A508" s="36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40"/>
    </row>
    <row r="509">
      <c r="A509" s="36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40"/>
    </row>
    <row r="510">
      <c r="A510" s="36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40"/>
    </row>
    <row r="511">
      <c r="A511" s="36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40"/>
    </row>
    <row r="512">
      <c r="A512" s="36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40"/>
    </row>
    <row r="513">
      <c r="A513" s="36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40"/>
    </row>
    <row r="514">
      <c r="A514" s="36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40"/>
    </row>
    <row r="515">
      <c r="A515" s="36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40"/>
    </row>
    <row r="516">
      <c r="A516" s="36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40"/>
    </row>
    <row r="517">
      <c r="A517" s="36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40"/>
    </row>
    <row r="518">
      <c r="A518" s="36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40"/>
    </row>
    <row r="519">
      <c r="A519" s="36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40"/>
    </row>
    <row r="520">
      <c r="A520" s="36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40"/>
    </row>
    <row r="521">
      <c r="A521" s="36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40"/>
    </row>
    <row r="522">
      <c r="A522" s="36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40"/>
    </row>
    <row r="523">
      <c r="A523" s="36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40"/>
    </row>
    <row r="524">
      <c r="A524" s="36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40"/>
    </row>
    <row r="525">
      <c r="A525" s="36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40"/>
    </row>
    <row r="526">
      <c r="A526" s="36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40"/>
    </row>
    <row r="527">
      <c r="A527" s="36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40"/>
    </row>
    <row r="528">
      <c r="A528" s="36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40"/>
    </row>
    <row r="529">
      <c r="A529" s="36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40"/>
    </row>
    <row r="530">
      <c r="A530" s="36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40"/>
    </row>
    <row r="531">
      <c r="A531" s="36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40"/>
    </row>
    <row r="532">
      <c r="A532" s="36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40"/>
    </row>
    <row r="533">
      <c r="A533" s="36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40"/>
    </row>
    <row r="534">
      <c r="A534" s="36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40"/>
    </row>
    <row r="535">
      <c r="A535" s="36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40"/>
    </row>
    <row r="536">
      <c r="A536" s="36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40"/>
    </row>
    <row r="537">
      <c r="A537" s="36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40"/>
    </row>
    <row r="538">
      <c r="A538" s="36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40"/>
    </row>
    <row r="539">
      <c r="A539" s="36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40"/>
    </row>
    <row r="540">
      <c r="A540" s="36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40"/>
    </row>
    <row r="541">
      <c r="A541" s="36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40"/>
    </row>
    <row r="542">
      <c r="A542" s="36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40"/>
    </row>
    <row r="543">
      <c r="A543" s="36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40"/>
    </row>
    <row r="544">
      <c r="A544" s="36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40"/>
    </row>
    <row r="545">
      <c r="A545" s="36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40"/>
    </row>
    <row r="546">
      <c r="A546" s="36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40"/>
    </row>
    <row r="547">
      <c r="A547" s="36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40"/>
    </row>
    <row r="548">
      <c r="A548" s="36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40"/>
    </row>
    <row r="549">
      <c r="A549" s="36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40"/>
    </row>
    <row r="550">
      <c r="A550" s="36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40"/>
    </row>
    <row r="551">
      <c r="A551" s="36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40"/>
    </row>
    <row r="552">
      <c r="A552" s="36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40"/>
    </row>
    <row r="553">
      <c r="A553" s="36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40"/>
    </row>
    <row r="554">
      <c r="A554" s="36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40"/>
    </row>
    <row r="555">
      <c r="A555" s="36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40"/>
    </row>
    <row r="556">
      <c r="A556" s="36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40"/>
    </row>
    <row r="557">
      <c r="A557" s="36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40"/>
    </row>
    <row r="558">
      <c r="A558" s="36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40"/>
    </row>
    <row r="559">
      <c r="A559" s="36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40"/>
    </row>
    <row r="560">
      <c r="A560" s="36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40"/>
    </row>
    <row r="561">
      <c r="A561" s="36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40"/>
    </row>
    <row r="562">
      <c r="A562" s="36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40"/>
    </row>
    <row r="563">
      <c r="A563" s="36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40"/>
    </row>
    <row r="564">
      <c r="A564" s="36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40"/>
    </row>
    <row r="565">
      <c r="A565" s="36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40"/>
    </row>
    <row r="566">
      <c r="A566" s="36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40"/>
    </row>
    <row r="567">
      <c r="A567" s="36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40"/>
    </row>
    <row r="568">
      <c r="A568" s="36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40"/>
    </row>
    <row r="569">
      <c r="A569" s="36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40"/>
    </row>
    <row r="570">
      <c r="A570" s="36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40"/>
    </row>
    <row r="571">
      <c r="A571" s="36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40"/>
    </row>
    <row r="572">
      <c r="A572" s="36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40"/>
    </row>
    <row r="573">
      <c r="A573" s="36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40"/>
    </row>
    <row r="574">
      <c r="A574" s="36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40"/>
    </row>
    <row r="575">
      <c r="A575" s="36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40"/>
    </row>
    <row r="576">
      <c r="A576" s="36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40"/>
    </row>
    <row r="577">
      <c r="A577" s="36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40"/>
    </row>
    <row r="578">
      <c r="A578" s="36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40"/>
    </row>
    <row r="579">
      <c r="A579" s="36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40"/>
    </row>
    <row r="580">
      <c r="A580" s="36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40"/>
    </row>
    <row r="581">
      <c r="A581" s="36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40"/>
    </row>
    <row r="582">
      <c r="A582" s="36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40"/>
    </row>
    <row r="583">
      <c r="A583" s="36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40"/>
    </row>
    <row r="584">
      <c r="A584" s="36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40"/>
    </row>
    <row r="585">
      <c r="A585" s="36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40"/>
    </row>
    <row r="586">
      <c r="A586" s="36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40"/>
    </row>
    <row r="587">
      <c r="A587" s="36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40"/>
    </row>
    <row r="588">
      <c r="A588" s="36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40"/>
    </row>
    <row r="589">
      <c r="A589" s="36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40"/>
    </row>
    <row r="590">
      <c r="A590" s="36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40"/>
    </row>
    <row r="591">
      <c r="A591" s="36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40"/>
    </row>
    <row r="592">
      <c r="A592" s="36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40"/>
    </row>
    <row r="593">
      <c r="A593" s="36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40"/>
    </row>
    <row r="594">
      <c r="A594" s="36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40"/>
    </row>
    <row r="595">
      <c r="A595" s="36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40"/>
    </row>
    <row r="596">
      <c r="A596" s="36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40"/>
    </row>
    <row r="597">
      <c r="A597" s="36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40"/>
    </row>
    <row r="598">
      <c r="A598" s="36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40"/>
    </row>
    <row r="599">
      <c r="A599" s="36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40"/>
    </row>
    <row r="600">
      <c r="A600" s="36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40"/>
    </row>
    <row r="601">
      <c r="A601" s="36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40"/>
    </row>
    <row r="602">
      <c r="A602" s="36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40"/>
    </row>
    <row r="603">
      <c r="A603" s="36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40"/>
    </row>
    <row r="604">
      <c r="A604" s="36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40"/>
    </row>
    <row r="605">
      <c r="A605" s="36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40"/>
    </row>
    <row r="606">
      <c r="A606" s="36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40"/>
    </row>
    <row r="607">
      <c r="A607" s="36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40"/>
    </row>
    <row r="608">
      <c r="A608" s="36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40"/>
    </row>
    <row r="609">
      <c r="A609" s="36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40"/>
    </row>
    <row r="610">
      <c r="A610" s="36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40"/>
    </row>
    <row r="611">
      <c r="A611" s="36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40"/>
    </row>
    <row r="612">
      <c r="A612" s="36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40"/>
    </row>
    <row r="613">
      <c r="A613" s="36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40"/>
    </row>
    <row r="614">
      <c r="A614" s="36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40"/>
    </row>
    <row r="615">
      <c r="A615" s="36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40"/>
    </row>
    <row r="616">
      <c r="A616" s="36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40"/>
    </row>
    <row r="617">
      <c r="A617" s="36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40"/>
    </row>
    <row r="618">
      <c r="A618" s="36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40"/>
    </row>
    <row r="619">
      <c r="A619" s="36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40"/>
    </row>
    <row r="620">
      <c r="A620" s="36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40"/>
    </row>
    <row r="621">
      <c r="A621" s="36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40"/>
    </row>
    <row r="622">
      <c r="A622" s="36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40"/>
    </row>
    <row r="623">
      <c r="A623" s="36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40"/>
    </row>
    <row r="624">
      <c r="A624" s="36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40"/>
    </row>
    <row r="625">
      <c r="A625" s="36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40"/>
    </row>
    <row r="626">
      <c r="A626" s="36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40"/>
    </row>
    <row r="627">
      <c r="A627" s="36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40"/>
    </row>
    <row r="628">
      <c r="A628" s="36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40"/>
    </row>
    <row r="629">
      <c r="A629" s="36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40"/>
    </row>
    <row r="630">
      <c r="A630" s="36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40"/>
    </row>
    <row r="631">
      <c r="A631" s="36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40"/>
    </row>
    <row r="632">
      <c r="A632" s="36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40"/>
    </row>
    <row r="633">
      <c r="A633" s="36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40"/>
    </row>
    <row r="634">
      <c r="A634" s="36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40"/>
    </row>
    <row r="635">
      <c r="A635" s="36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40"/>
    </row>
    <row r="636">
      <c r="A636" s="36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40"/>
    </row>
    <row r="637">
      <c r="A637" s="36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40"/>
    </row>
    <row r="638">
      <c r="A638" s="36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40"/>
    </row>
    <row r="639">
      <c r="A639" s="36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40"/>
    </row>
    <row r="640">
      <c r="A640" s="36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40"/>
    </row>
    <row r="641">
      <c r="A641" s="36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40"/>
    </row>
    <row r="642">
      <c r="A642" s="36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40"/>
    </row>
    <row r="643">
      <c r="A643" s="36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40"/>
    </row>
    <row r="644">
      <c r="A644" s="36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40"/>
    </row>
    <row r="645">
      <c r="A645" s="36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40"/>
    </row>
    <row r="646">
      <c r="A646" s="36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40"/>
    </row>
    <row r="647">
      <c r="A647" s="36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40"/>
    </row>
    <row r="648">
      <c r="A648" s="36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40"/>
    </row>
    <row r="649">
      <c r="A649" s="36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40"/>
    </row>
    <row r="650">
      <c r="A650" s="36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40"/>
    </row>
    <row r="651">
      <c r="A651" s="36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40"/>
    </row>
    <row r="652">
      <c r="A652" s="36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40"/>
    </row>
    <row r="653">
      <c r="A653" s="36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40"/>
    </row>
    <row r="654">
      <c r="A654" s="36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40"/>
    </row>
    <row r="655">
      <c r="A655" s="36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40"/>
    </row>
    <row r="656">
      <c r="A656" s="36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40"/>
    </row>
    <row r="657">
      <c r="A657" s="36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40"/>
    </row>
    <row r="658">
      <c r="A658" s="36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40"/>
    </row>
    <row r="659">
      <c r="A659" s="36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40"/>
    </row>
    <row r="660">
      <c r="A660" s="36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40"/>
    </row>
    <row r="661">
      <c r="A661" s="36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40"/>
    </row>
    <row r="662">
      <c r="A662" s="36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40"/>
    </row>
    <row r="663">
      <c r="A663" s="36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40"/>
    </row>
    <row r="664">
      <c r="A664" s="36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40"/>
    </row>
    <row r="665">
      <c r="A665" s="36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40"/>
    </row>
    <row r="666">
      <c r="A666" s="36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40"/>
    </row>
    <row r="667">
      <c r="A667" s="36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40"/>
    </row>
    <row r="668">
      <c r="A668" s="36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40"/>
    </row>
    <row r="669">
      <c r="A669" s="36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40"/>
    </row>
    <row r="670">
      <c r="A670" s="36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40"/>
    </row>
    <row r="671">
      <c r="A671" s="36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40"/>
    </row>
    <row r="672">
      <c r="A672" s="36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40"/>
    </row>
    <row r="673">
      <c r="A673" s="36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40"/>
    </row>
    <row r="674">
      <c r="A674" s="36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40"/>
    </row>
    <row r="675">
      <c r="A675" s="36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40"/>
    </row>
    <row r="676">
      <c r="A676" s="36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40"/>
    </row>
    <row r="677">
      <c r="A677" s="36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40"/>
    </row>
    <row r="678">
      <c r="A678" s="36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40"/>
    </row>
    <row r="679">
      <c r="A679" s="36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40"/>
    </row>
    <row r="680">
      <c r="A680" s="36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40"/>
    </row>
    <row r="681">
      <c r="A681" s="36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40"/>
    </row>
    <row r="682">
      <c r="A682" s="36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40"/>
    </row>
    <row r="683">
      <c r="A683" s="36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40"/>
    </row>
    <row r="684">
      <c r="A684" s="36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40"/>
    </row>
    <row r="685">
      <c r="A685" s="36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40"/>
    </row>
    <row r="686">
      <c r="A686" s="36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40"/>
    </row>
    <row r="687">
      <c r="A687" s="36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40"/>
    </row>
    <row r="688">
      <c r="A688" s="36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40"/>
    </row>
    <row r="689">
      <c r="A689" s="36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40"/>
    </row>
    <row r="690">
      <c r="A690" s="36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40"/>
    </row>
    <row r="691">
      <c r="A691" s="36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40"/>
    </row>
    <row r="692">
      <c r="A692" s="36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40"/>
    </row>
    <row r="693">
      <c r="A693" s="36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40"/>
    </row>
    <row r="694">
      <c r="A694" s="36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40"/>
    </row>
    <row r="695">
      <c r="A695" s="36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40"/>
    </row>
    <row r="696">
      <c r="A696" s="36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40"/>
    </row>
    <row r="697">
      <c r="A697" s="36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40"/>
    </row>
    <row r="698">
      <c r="A698" s="36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40"/>
    </row>
    <row r="699">
      <c r="A699" s="36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40"/>
    </row>
    <row r="700">
      <c r="A700" s="36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40"/>
    </row>
    <row r="701">
      <c r="A701" s="36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40"/>
    </row>
    <row r="702">
      <c r="A702" s="36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40"/>
    </row>
    <row r="703">
      <c r="A703" s="36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40"/>
    </row>
    <row r="704">
      <c r="A704" s="36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40"/>
    </row>
    <row r="705">
      <c r="A705" s="36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40"/>
    </row>
    <row r="706">
      <c r="A706" s="36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40"/>
    </row>
    <row r="707">
      <c r="A707" s="36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40"/>
    </row>
    <row r="708">
      <c r="A708" s="36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40"/>
    </row>
    <row r="709">
      <c r="A709" s="36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40"/>
    </row>
    <row r="710">
      <c r="A710" s="36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40"/>
    </row>
    <row r="711">
      <c r="A711" s="36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40"/>
    </row>
    <row r="712">
      <c r="A712" s="36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40"/>
    </row>
    <row r="713">
      <c r="A713" s="36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40"/>
    </row>
    <row r="714">
      <c r="A714" s="36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40"/>
    </row>
    <row r="715">
      <c r="A715" s="36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40"/>
    </row>
    <row r="716">
      <c r="A716" s="36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40"/>
    </row>
    <row r="717">
      <c r="A717" s="36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40"/>
    </row>
    <row r="718">
      <c r="A718" s="36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40"/>
    </row>
    <row r="719">
      <c r="A719" s="36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40"/>
    </row>
    <row r="720">
      <c r="A720" s="36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40"/>
    </row>
    <row r="721">
      <c r="A721" s="36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40"/>
    </row>
    <row r="722">
      <c r="A722" s="36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40"/>
    </row>
    <row r="723">
      <c r="A723" s="36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40"/>
    </row>
    <row r="724">
      <c r="A724" s="36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40"/>
    </row>
    <row r="725">
      <c r="A725" s="36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40"/>
    </row>
    <row r="726">
      <c r="A726" s="36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40"/>
    </row>
    <row r="727">
      <c r="A727" s="36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40"/>
    </row>
    <row r="728">
      <c r="A728" s="36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40"/>
    </row>
    <row r="729">
      <c r="A729" s="36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40"/>
    </row>
    <row r="730">
      <c r="A730" s="36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40"/>
    </row>
    <row r="731">
      <c r="A731" s="36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40"/>
    </row>
    <row r="732">
      <c r="A732" s="36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40"/>
    </row>
    <row r="733">
      <c r="A733" s="36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40"/>
    </row>
    <row r="734">
      <c r="A734" s="36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40"/>
    </row>
    <row r="735">
      <c r="A735" s="36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40"/>
    </row>
    <row r="736">
      <c r="A736" s="36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40"/>
    </row>
    <row r="737">
      <c r="A737" s="36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40"/>
    </row>
    <row r="738">
      <c r="A738" s="36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40"/>
    </row>
    <row r="739">
      <c r="A739" s="36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40"/>
    </row>
    <row r="740">
      <c r="A740" s="36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40"/>
    </row>
    <row r="741">
      <c r="A741" s="36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40"/>
    </row>
    <row r="742">
      <c r="A742" s="36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40"/>
    </row>
    <row r="743">
      <c r="A743" s="36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40"/>
    </row>
    <row r="744">
      <c r="A744" s="36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40"/>
    </row>
    <row r="745">
      <c r="A745" s="36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40"/>
    </row>
    <row r="746">
      <c r="A746" s="36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40"/>
    </row>
    <row r="747">
      <c r="A747" s="36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40"/>
    </row>
    <row r="748">
      <c r="A748" s="36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40"/>
    </row>
    <row r="749">
      <c r="A749" s="36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40"/>
    </row>
    <row r="750">
      <c r="A750" s="36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40"/>
    </row>
    <row r="751">
      <c r="A751" s="36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40"/>
    </row>
    <row r="752">
      <c r="A752" s="36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40"/>
    </row>
    <row r="753">
      <c r="A753" s="36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40"/>
    </row>
    <row r="754">
      <c r="A754" s="36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40"/>
    </row>
    <row r="755">
      <c r="A755" s="36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40"/>
    </row>
    <row r="756">
      <c r="A756" s="36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40"/>
    </row>
    <row r="757">
      <c r="A757" s="36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40"/>
    </row>
    <row r="758">
      <c r="A758" s="36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40"/>
    </row>
    <row r="759">
      <c r="A759" s="36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40"/>
    </row>
    <row r="760">
      <c r="A760" s="36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40"/>
    </row>
    <row r="761">
      <c r="A761" s="36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40"/>
    </row>
    <row r="762">
      <c r="A762" s="36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40"/>
    </row>
    <row r="763">
      <c r="A763" s="36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40"/>
    </row>
    <row r="764">
      <c r="A764" s="36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40"/>
    </row>
    <row r="765">
      <c r="A765" s="36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40"/>
    </row>
    <row r="766">
      <c r="A766" s="36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40"/>
    </row>
    <row r="767">
      <c r="A767" s="36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40"/>
    </row>
    <row r="768">
      <c r="A768" s="36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40"/>
    </row>
    <row r="769">
      <c r="A769" s="36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40"/>
    </row>
    <row r="770">
      <c r="A770" s="36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40"/>
    </row>
    <row r="771">
      <c r="A771" s="36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40"/>
    </row>
    <row r="772">
      <c r="A772" s="36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40"/>
    </row>
    <row r="773">
      <c r="A773" s="36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40"/>
    </row>
    <row r="774">
      <c r="A774" s="36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40"/>
    </row>
    <row r="775">
      <c r="A775" s="36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40"/>
    </row>
    <row r="776">
      <c r="A776" s="36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40"/>
    </row>
    <row r="777">
      <c r="A777" s="36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40"/>
    </row>
    <row r="778">
      <c r="A778" s="36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40"/>
    </row>
    <row r="779">
      <c r="A779" s="36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40"/>
    </row>
    <row r="780">
      <c r="A780" s="36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40"/>
    </row>
    <row r="781">
      <c r="A781" s="36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40"/>
    </row>
    <row r="782">
      <c r="A782" s="36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40"/>
    </row>
    <row r="783">
      <c r="A783" s="36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40"/>
    </row>
    <row r="784">
      <c r="A784" s="36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40"/>
    </row>
    <row r="785">
      <c r="A785" s="36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40"/>
    </row>
    <row r="786">
      <c r="A786" s="36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40"/>
    </row>
    <row r="787">
      <c r="A787" s="36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40"/>
    </row>
    <row r="788">
      <c r="A788" s="36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40"/>
    </row>
    <row r="789">
      <c r="A789" s="36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40"/>
    </row>
    <row r="790">
      <c r="A790" s="36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40"/>
    </row>
    <row r="791">
      <c r="A791" s="36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40"/>
    </row>
    <row r="792">
      <c r="A792" s="36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40"/>
    </row>
    <row r="793">
      <c r="A793" s="36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40"/>
    </row>
    <row r="794">
      <c r="A794" s="36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40"/>
    </row>
    <row r="795">
      <c r="A795" s="36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40"/>
    </row>
    <row r="796">
      <c r="A796" s="36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40"/>
    </row>
    <row r="797">
      <c r="A797" s="36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40"/>
    </row>
    <row r="798">
      <c r="A798" s="36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40"/>
    </row>
    <row r="799">
      <c r="A799" s="36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40"/>
    </row>
    <row r="800">
      <c r="A800" s="36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40"/>
    </row>
    <row r="801">
      <c r="A801" s="36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40"/>
    </row>
    <row r="802">
      <c r="A802" s="36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40"/>
    </row>
    <row r="803">
      <c r="A803" s="36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40"/>
    </row>
    <row r="804">
      <c r="A804" s="36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40"/>
    </row>
    <row r="805">
      <c r="A805" s="36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40"/>
    </row>
    <row r="806">
      <c r="A806" s="36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40"/>
    </row>
    <row r="807">
      <c r="A807" s="36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40"/>
    </row>
    <row r="808">
      <c r="A808" s="36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40"/>
    </row>
    <row r="809">
      <c r="A809" s="36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40"/>
    </row>
    <row r="810">
      <c r="A810" s="36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40"/>
    </row>
    <row r="811">
      <c r="A811" s="36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40"/>
    </row>
    <row r="812">
      <c r="A812" s="36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40"/>
    </row>
    <row r="813">
      <c r="A813" s="36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40"/>
    </row>
    <row r="814">
      <c r="A814" s="36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40"/>
    </row>
    <row r="815">
      <c r="A815" s="36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40"/>
    </row>
    <row r="816">
      <c r="A816" s="36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40"/>
    </row>
    <row r="817">
      <c r="A817" s="36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40"/>
    </row>
    <row r="818">
      <c r="A818" s="36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40"/>
    </row>
    <row r="819">
      <c r="A819" s="36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40"/>
    </row>
    <row r="820">
      <c r="A820" s="36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40"/>
    </row>
    <row r="821">
      <c r="A821" s="36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40"/>
    </row>
    <row r="822">
      <c r="A822" s="36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40"/>
    </row>
    <row r="823">
      <c r="A823" s="36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40"/>
    </row>
    <row r="824">
      <c r="A824" s="36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40"/>
    </row>
    <row r="825">
      <c r="A825" s="36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40"/>
    </row>
    <row r="826">
      <c r="A826" s="36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40"/>
    </row>
    <row r="827">
      <c r="A827" s="36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40"/>
    </row>
    <row r="828">
      <c r="A828" s="36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40"/>
    </row>
    <row r="829">
      <c r="A829" s="36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40"/>
    </row>
    <row r="830">
      <c r="A830" s="36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40"/>
    </row>
    <row r="831">
      <c r="A831" s="36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40"/>
    </row>
    <row r="832">
      <c r="A832" s="36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40"/>
    </row>
    <row r="833">
      <c r="A833" s="36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40"/>
    </row>
    <row r="834">
      <c r="A834" s="36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40"/>
    </row>
    <row r="835">
      <c r="A835" s="36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40"/>
    </row>
    <row r="836">
      <c r="A836" s="36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40"/>
    </row>
    <row r="837">
      <c r="A837" s="36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40"/>
    </row>
    <row r="838">
      <c r="A838" s="36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40"/>
    </row>
    <row r="839">
      <c r="A839" s="36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40"/>
    </row>
    <row r="840">
      <c r="A840" s="36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40"/>
    </row>
    <row r="841">
      <c r="A841" s="36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40"/>
    </row>
    <row r="842">
      <c r="A842" s="36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40"/>
    </row>
    <row r="843">
      <c r="A843" s="36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40"/>
    </row>
    <row r="844">
      <c r="A844" s="36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40"/>
    </row>
    <row r="845">
      <c r="A845" s="36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40"/>
    </row>
    <row r="846">
      <c r="A846" s="36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40"/>
    </row>
    <row r="847">
      <c r="A847" s="36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40"/>
    </row>
    <row r="848">
      <c r="A848" s="36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40"/>
    </row>
    <row r="849">
      <c r="A849" s="36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40"/>
    </row>
    <row r="850">
      <c r="A850" s="36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40"/>
    </row>
    <row r="851">
      <c r="A851" s="36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40"/>
    </row>
    <row r="852">
      <c r="A852" s="36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40"/>
    </row>
    <row r="853">
      <c r="A853" s="36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40"/>
    </row>
    <row r="854">
      <c r="A854" s="36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40"/>
    </row>
    <row r="855">
      <c r="A855" s="36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40"/>
    </row>
    <row r="856">
      <c r="A856" s="36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40"/>
    </row>
    <row r="857">
      <c r="A857" s="36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40"/>
    </row>
    <row r="858">
      <c r="A858" s="36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40"/>
    </row>
    <row r="859">
      <c r="A859" s="36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40"/>
    </row>
    <row r="860">
      <c r="A860" s="36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40"/>
    </row>
    <row r="861">
      <c r="A861" s="36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40"/>
    </row>
    <row r="862">
      <c r="A862" s="36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40"/>
    </row>
    <row r="863">
      <c r="A863" s="36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40"/>
    </row>
    <row r="864">
      <c r="A864" s="36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40"/>
    </row>
    <row r="865">
      <c r="A865" s="36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40"/>
    </row>
    <row r="866">
      <c r="A866" s="36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40"/>
    </row>
    <row r="867">
      <c r="A867" s="36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40"/>
    </row>
    <row r="868">
      <c r="A868" s="36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40"/>
    </row>
    <row r="869">
      <c r="A869" s="36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40"/>
    </row>
    <row r="870">
      <c r="A870" s="36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40"/>
    </row>
    <row r="871">
      <c r="A871" s="36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40"/>
    </row>
    <row r="872">
      <c r="A872" s="36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40"/>
    </row>
    <row r="873">
      <c r="A873" s="36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40"/>
    </row>
    <row r="874">
      <c r="A874" s="36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40"/>
    </row>
    <row r="875">
      <c r="A875" s="36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40"/>
    </row>
    <row r="876">
      <c r="A876" s="36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40"/>
    </row>
    <row r="877">
      <c r="A877" s="36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40"/>
    </row>
    <row r="878">
      <c r="A878" s="36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40"/>
    </row>
    <row r="879">
      <c r="A879" s="36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40"/>
    </row>
    <row r="880">
      <c r="A880" s="36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40"/>
    </row>
    <row r="881">
      <c r="A881" s="36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40"/>
    </row>
    <row r="882">
      <c r="A882" s="36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40"/>
    </row>
    <row r="883">
      <c r="A883" s="36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40"/>
    </row>
    <row r="884">
      <c r="A884" s="36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40"/>
    </row>
    <row r="885">
      <c r="A885" s="36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40"/>
    </row>
    <row r="886">
      <c r="A886" s="36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40"/>
    </row>
    <row r="887">
      <c r="A887" s="36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40"/>
    </row>
    <row r="888">
      <c r="A888" s="36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40"/>
    </row>
    <row r="889">
      <c r="A889" s="36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40"/>
    </row>
    <row r="890">
      <c r="A890" s="36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40"/>
    </row>
    <row r="891">
      <c r="A891" s="36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40"/>
    </row>
    <row r="892">
      <c r="A892" s="36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40"/>
    </row>
    <row r="893">
      <c r="A893" s="36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40"/>
    </row>
    <row r="894">
      <c r="A894" s="36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40"/>
    </row>
    <row r="895">
      <c r="A895" s="36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40"/>
    </row>
    <row r="896">
      <c r="A896" s="36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40"/>
    </row>
    <row r="897">
      <c r="A897" s="36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40"/>
    </row>
    <row r="898">
      <c r="A898" s="36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40"/>
    </row>
    <row r="899">
      <c r="A899" s="36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40"/>
    </row>
    <row r="900">
      <c r="A900" s="36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40"/>
    </row>
    <row r="901">
      <c r="A901" s="36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40"/>
    </row>
    <row r="902">
      <c r="A902" s="36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40"/>
    </row>
    <row r="903">
      <c r="A903" s="36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40"/>
    </row>
    <row r="904">
      <c r="A904" s="36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40"/>
    </row>
    <row r="905">
      <c r="A905" s="36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40"/>
    </row>
    <row r="906">
      <c r="A906" s="36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40"/>
    </row>
    <row r="907">
      <c r="A907" s="36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40"/>
    </row>
    <row r="908">
      <c r="A908" s="36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40"/>
    </row>
    <row r="909">
      <c r="A909" s="36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40"/>
    </row>
    <row r="910">
      <c r="A910" s="36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40"/>
    </row>
    <row r="911">
      <c r="A911" s="36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40"/>
    </row>
    <row r="912">
      <c r="A912" s="36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40"/>
    </row>
    <row r="913">
      <c r="A913" s="36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40"/>
    </row>
    <row r="914">
      <c r="A914" s="36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40"/>
    </row>
    <row r="915">
      <c r="A915" s="36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40"/>
    </row>
    <row r="916">
      <c r="A916" s="36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40"/>
    </row>
    <row r="917">
      <c r="A917" s="36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40"/>
    </row>
    <row r="918">
      <c r="A918" s="36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40"/>
    </row>
    <row r="919">
      <c r="A919" s="36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40"/>
    </row>
    <row r="920">
      <c r="A920" s="36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40"/>
    </row>
    <row r="921">
      <c r="A921" s="36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40"/>
    </row>
    <row r="922">
      <c r="A922" s="36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40"/>
    </row>
    <row r="923">
      <c r="A923" s="36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40"/>
    </row>
    <row r="924">
      <c r="A924" s="36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40"/>
    </row>
    <row r="925">
      <c r="A925" s="36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40"/>
    </row>
    <row r="926">
      <c r="A926" s="36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40"/>
    </row>
    <row r="927">
      <c r="A927" s="36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40"/>
    </row>
    <row r="928">
      <c r="A928" s="36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40"/>
    </row>
    <row r="929">
      <c r="A929" s="36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40"/>
    </row>
    <row r="930">
      <c r="A930" s="36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40"/>
    </row>
    <row r="931">
      <c r="A931" s="36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40"/>
    </row>
    <row r="932">
      <c r="A932" s="36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40"/>
    </row>
    <row r="933">
      <c r="A933" s="36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40"/>
    </row>
    <row r="934">
      <c r="A934" s="36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40"/>
    </row>
    <row r="935">
      <c r="A935" s="36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40"/>
    </row>
    <row r="936">
      <c r="A936" s="36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40"/>
    </row>
    <row r="937">
      <c r="A937" s="36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40"/>
    </row>
    <row r="938">
      <c r="A938" s="36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40"/>
    </row>
    <row r="939">
      <c r="A939" s="36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40"/>
    </row>
    <row r="940">
      <c r="A940" s="36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40"/>
    </row>
    <row r="941">
      <c r="A941" s="36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40"/>
    </row>
    <row r="942">
      <c r="A942" s="36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40"/>
    </row>
    <row r="943">
      <c r="A943" s="36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40"/>
    </row>
    <row r="944">
      <c r="A944" s="36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40"/>
    </row>
    <row r="945">
      <c r="A945" s="36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40"/>
    </row>
    <row r="946">
      <c r="A946" s="36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40"/>
    </row>
    <row r="947">
      <c r="A947" s="36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40"/>
    </row>
    <row r="948">
      <c r="A948" s="36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40"/>
    </row>
    <row r="949">
      <c r="A949" s="36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40"/>
    </row>
    <row r="950">
      <c r="A950" s="36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40"/>
    </row>
    <row r="951">
      <c r="A951" s="36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40"/>
    </row>
    <row r="952">
      <c r="A952" s="36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40"/>
    </row>
    <row r="953">
      <c r="A953" s="36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40"/>
    </row>
    <row r="954">
      <c r="A954" s="36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40"/>
    </row>
    <row r="955">
      <c r="A955" s="36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40"/>
    </row>
    <row r="956">
      <c r="A956" s="36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40"/>
    </row>
    <row r="957">
      <c r="A957" s="36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40"/>
    </row>
    <row r="958">
      <c r="A958" s="36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40"/>
    </row>
    <row r="959">
      <c r="A959" s="36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40"/>
    </row>
    <row r="960">
      <c r="A960" s="36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40"/>
    </row>
    <row r="961">
      <c r="A961" s="36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40"/>
    </row>
    <row r="962">
      <c r="A962" s="36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40"/>
    </row>
    <row r="963">
      <c r="A963" s="36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40"/>
    </row>
    <row r="964">
      <c r="A964" s="36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40"/>
    </row>
    <row r="965">
      <c r="A965" s="36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40"/>
    </row>
    <row r="966">
      <c r="A966" s="36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40"/>
    </row>
    <row r="967">
      <c r="A967" s="36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40"/>
    </row>
    <row r="968">
      <c r="A968" s="36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40"/>
    </row>
    <row r="969">
      <c r="A969" s="36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40"/>
    </row>
    <row r="970">
      <c r="A970" s="36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40"/>
    </row>
    <row r="971">
      <c r="A971" s="36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40"/>
    </row>
    <row r="972">
      <c r="A972" s="36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40"/>
    </row>
    <row r="973">
      <c r="A973" s="36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40"/>
    </row>
    <row r="974">
      <c r="A974" s="36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40"/>
    </row>
    <row r="975">
      <c r="A975" s="36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40"/>
    </row>
    <row r="976">
      <c r="A976" s="36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40"/>
    </row>
    <row r="977">
      <c r="A977" s="36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40"/>
    </row>
    <row r="978">
      <c r="A978" s="36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40"/>
    </row>
    <row r="979">
      <c r="A979" s="36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40"/>
    </row>
    <row r="980">
      <c r="A980" s="36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40"/>
    </row>
    <row r="981">
      <c r="A981" s="36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40"/>
    </row>
    <row r="982">
      <c r="A982" s="36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40"/>
    </row>
    <row r="983">
      <c r="A983" s="36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40"/>
    </row>
    <row r="984">
      <c r="A984" s="36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40"/>
    </row>
    <row r="985">
      <c r="A985" s="36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40"/>
    </row>
    <row r="986">
      <c r="A986" s="36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40"/>
    </row>
    <row r="987">
      <c r="A987" s="36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40"/>
    </row>
    <row r="988">
      <c r="A988" s="36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40"/>
    </row>
    <row r="989">
      <c r="A989" s="36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40"/>
    </row>
    <row r="990">
      <c r="A990" s="36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40"/>
    </row>
    <row r="991">
      <c r="A991" s="36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40"/>
    </row>
    <row r="992">
      <c r="A992" s="36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40"/>
    </row>
    <row r="993">
      <c r="A993" s="36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40"/>
    </row>
    <row r="994">
      <c r="A994" s="36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40"/>
    </row>
    <row r="995">
      <c r="A995" s="36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40"/>
    </row>
    <row r="996">
      <c r="A996" s="36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40"/>
    </row>
    <row r="997">
      <c r="A997" s="36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40"/>
    </row>
    <row r="998">
      <c r="A998" s="36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40"/>
    </row>
    <row r="999">
      <c r="A999" s="36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40"/>
    </row>
    <row r="1000">
      <c r="A1000" s="36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40"/>
    </row>
  </sheetData>
  <conditionalFormatting sqref="A51:AC51">
    <cfRule type="cellIs" dxfId="0" priority="1" operator="lessThan">
      <formula>0</formula>
    </cfRule>
  </conditionalFormatting>
  <conditionalFormatting sqref="A51:AC51">
    <cfRule type="notContainsBlanks" dxfId="1" priority="2">
      <formula>LEN(TRIM(A51))&gt;0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2" max="2" width="25.75"/>
    <col customWidth="1" min="3" max="3" width="19.13"/>
  </cols>
  <sheetData>
    <row r="1">
      <c r="A1" s="41"/>
      <c r="B1" s="42" t="s">
        <v>5</v>
      </c>
      <c r="C1" s="43" t="s">
        <v>6</v>
      </c>
      <c r="D1" s="43" t="s">
        <v>7</v>
      </c>
      <c r="E1" s="43" t="s">
        <v>8</v>
      </c>
      <c r="F1" s="43" t="s">
        <v>9</v>
      </c>
      <c r="G1" s="43" t="s">
        <v>10</v>
      </c>
      <c r="H1" s="44" t="s">
        <v>11</v>
      </c>
      <c r="I1" s="44" t="s">
        <v>12</v>
      </c>
      <c r="J1" s="41"/>
      <c r="K1" s="45" t="s">
        <v>13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6"/>
      <c r="X1" s="41"/>
      <c r="Y1" s="41"/>
      <c r="Z1" s="41"/>
    </row>
    <row r="2">
      <c r="A2" s="41"/>
      <c r="B2" s="47"/>
      <c r="C2" s="48" t="s">
        <v>14</v>
      </c>
      <c r="D2" s="49"/>
      <c r="E2" s="50"/>
      <c r="F2" s="51"/>
      <c r="G2" s="52"/>
      <c r="H2" s="53"/>
      <c r="I2" s="54"/>
      <c r="J2" s="41"/>
      <c r="K2" s="55">
        <f t="shared" ref="K2:K18" si="1">IF($I2&lt;=18200,0,IF($I2&lt;=45000,($I2-18200)*0.19,IF($I2&lt;=120000,($I2-45000)*0.325+5092,IF($I2&lt;=180000,($I2-120000)*0.37+29467,IF($I2&gt;180000,($I2-180000)*0.45+51667)))))/52</f>
        <v>0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6"/>
      <c r="X2" s="41"/>
      <c r="Y2" s="41"/>
      <c r="Z2" s="41"/>
    </row>
    <row r="3">
      <c r="A3" s="41"/>
      <c r="B3" s="47"/>
      <c r="C3" s="48" t="s">
        <v>14</v>
      </c>
      <c r="D3" s="49"/>
      <c r="E3" s="50"/>
      <c r="F3" s="51"/>
      <c r="G3" s="52"/>
      <c r="H3" s="53"/>
      <c r="I3" s="54"/>
      <c r="J3" s="41"/>
      <c r="K3" s="55">
        <f t="shared" si="1"/>
        <v>0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6"/>
      <c r="X3" s="41"/>
      <c r="Y3" s="41"/>
      <c r="Z3" s="41"/>
    </row>
    <row r="4">
      <c r="A4" s="41"/>
      <c r="B4" s="47"/>
      <c r="C4" s="48" t="s">
        <v>15</v>
      </c>
      <c r="D4" s="49"/>
      <c r="E4" s="50"/>
      <c r="F4" s="56"/>
      <c r="G4" s="52"/>
      <c r="H4" s="54"/>
      <c r="I4" s="53"/>
      <c r="J4" s="41"/>
      <c r="K4" s="55">
        <f t="shared" si="1"/>
        <v>0</v>
      </c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6"/>
      <c r="X4" s="41"/>
      <c r="Y4" s="41"/>
      <c r="Z4" s="41"/>
    </row>
    <row r="5">
      <c r="A5" s="41"/>
      <c r="B5" s="57"/>
      <c r="C5" s="48" t="s">
        <v>15</v>
      </c>
      <c r="D5" s="50"/>
      <c r="E5" s="50"/>
      <c r="F5" s="56"/>
      <c r="G5" s="52"/>
      <c r="H5" s="54"/>
      <c r="I5" s="54"/>
      <c r="J5" s="41"/>
      <c r="K5" s="55">
        <f t="shared" si="1"/>
        <v>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6"/>
      <c r="X5" s="41"/>
      <c r="Y5" s="41"/>
      <c r="Z5" s="41"/>
    </row>
    <row r="6">
      <c r="A6" s="41"/>
      <c r="B6" s="57"/>
      <c r="C6" s="56"/>
      <c r="D6" s="50"/>
      <c r="E6" s="50"/>
      <c r="F6" s="56"/>
      <c r="G6" s="52"/>
      <c r="H6" s="54"/>
      <c r="I6" s="54"/>
      <c r="J6" s="41"/>
      <c r="K6" s="55">
        <f t="shared" si="1"/>
        <v>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6"/>
      <c r="X6" s="41"/>
      <c r="Y6" s="41"/>
      <c r="Z6" s="41"/>
    </row>
    <row r="7">
      <c r="A7" s="41"/>
      <c r="B7" s="57"/>
      <c r="C7" s="50"/>
      <c r="D7" s="50"/>
      <c r="E7" s="50"/>
      <c r="F7" s="56"/>
      <c r="G7" s="52"/>
      <c r="H7" s="54"/>
      <c r="I7" s="54"/>
      <c r="J7" s="41"/>
      <c r="K7" s="55">
        <f t="shared" si="1"/>
        <v>0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6"/>
      <c r="X7" s="41"/>
      <c r="Y7" s="41"/>
      <c r="Z7" s="41"/>
    </row>
    <row r="8">
      <c r="A8" s="41"/>
      <c r="B8" s="57"/>
      <c r="C8" s="56"/>
      <c r="D8" s="50"/>
      <c r="E8" s="50"/>
      <c r="F8" s="56"/>
      <c r="G8" s="52"/>
      <c r="H8" s="54"/>
      <c r="I8" s="54"/>
      <c r="J8" s="41"/>
      <c r="K8" s="55">
        <f t="shared" si="1"/>
        <v>0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6"/>
      <c r="X8" s="41"/>
      <c r="Y8" s="41"/>
      <c r="Z8" s="41"/>
    </row>
    <row r="9">
      <c r="A9" s="41"/>
      <c r="B9" s="57"/>
      <c r="C9" s="50"/>
      <c r="D9" s="50"/>
      <c r="E9" s="50"/>
      <c r="F9" s="56"/>
      <c r="G9" s="52"/>
      <c r="H9" s="54"/>
      <c r="I9" s="54"/>
      <c r="J9" s="41"/>
      <c r="K9" s="55">
        <f t="shared" si="1"/>
        <v>0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6"/>
      <c r="X9" s="41"/>
      <c r="Y9" s="41"/>
      <c r="Z9" s="41"/>
    </row>
    <row r="10">
      <c r="A10" s="41"/>
      <c r="B10" s="57"/>
      <c r="C10" s="56"/>
      <c r="D10" s="50"/>
      <c r="E10" s="50"/>
      <c r="F10" s="56"/>
      <c r="G10" s="52"/>
      <c r="H10" s="54"/>
      <c r="I10" s="54"/>
      <c r="J10" s="41"/>
      <c r="K10" s="55">
        <f t="shared" si="1"/>
        <v>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6"/>
      <c r="X10" s="41"/>
      <c r="Y10" s="41"/>
      <c r="Z10" s="41"/>
    </row>
    <row r="11">
      <c r="A11" s="41"/>
      <c r="B11" s="57"/>
      <c r="C11" s="50"/>
      <c r="D11" s="50"/>
      <c r="E11" s="50"/>
      <c r="F11" s="56"/>
      <c r="G11" s="52"/>
      <c r="H11" s="54"/>
      <c r="I11" s="54"/>
      <c r="J11" s="41"/>
      <c r="K11" s="55">
        <f t="shared" si="1"/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6"/>
      <c r="X11" s="41"/>
      <c r="Y11" s="41"/>
      <c r="Z11" s="41"/>
    </row>
    <row r="12">
      <c r="A12" s="41"/>
      <c r="B12" s="57"/>
      <c r="C12" s="50"/>
      <c r="D12" s="50"/>
      <c r="E12" s="50"/>
      <c r="F12" s="56"/>
      <c r="G12" s="52"/>
      <c r="H12" s="54"/>
      <c r="I12" s="54"/>
      <c r="J12" s="41"/>
      <c r="K12" s="55">
        <f t="shared" si="1"/>
        <v>0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6"/>
      <c r="X12" s="41"/>
      <c r="Y12" s="41"/>
      <c r="Z12" s="41"/>
    </row>
    <row r="13">
      <c r="A13" s="41"/>
      <c r="B13" s="57"/>
      <c r="C13" s="50"/>
      <c r="D13" s="50"/>
      <c r="E13" s="50"/>
      <c r="F13" s="56"/>
      <c r="G13" s="52"/>
      <c r="H13" s="54"/>
      <c r="I13" s="54"/>
      <c r="J13" s="41"/>
      <c r="K13" s="55">
        <f t="shared" si="1"/>
        <v>0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6"/>
      <c r="X13" s="41"/>
      <c r="Y13" s="41"/>
      <c r="Z13" s="41"/>
    </row>
    <row r="14">
      <c r="A14" s="41"/>
      <c r="B14" s="57"/>
      <c r="C14" s="56"/>
      <c r="D14" s="50"/>
      <c r="E14" s="50"/>
      <c r="F14" s="56"/>
      <c r="G14" s="52"/>
      <c r="H14" s="54"/>
      <c r="I14" s="54"/>
      <c r="J14" s="41"/>
      <c r="K14" s="55">
        <f t="shared" si="1"/>
        <v>0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6"/>
      <c r="X14" s="41"/>
      <c r="Y14" s="41"/>
      <c r="Z14" s="41"/>
    </row>
    <row r="15">
      <c r="A15" s="41"/>
      <c r="B15" s="57"/>
      <c r="C15" s="56"/>
      <c r="D15" s="50"/>
      <c r="E15" s="50"/>
      <c r="F15" s="56"/>
      <c r="G15" s="52"/>
      <c r="H15" s="54"/>
      <c r="I15" s="54"/>
      <c r="J15" s="41"/>
      <c r="K15" s="55">
        <f t="shared" si="1"/>
        <v>0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6"/>
      <c r="X15" s="41"/>
      <c r="Y15" s="41"/>
      <c r="Z15" s="41"/>
    </row>
    <row r="16">
      <c r="A16" s="41"/>
      <c r="B16" s="57"/>
      <c r="C16" s="56"/>
      <c r="D16" s="50"/>
      <c r="E16" s="50"/>
      <c r="F16" s="56"/>
      <c r="G16" s="54"/>
      <c r="H16" s="54"/>
      <c r="I16" s="54"/>
      <c r="J16" s="41"/>
      <c r="K16" s="55">
        <f t="shared" si="1"/>
        <v>0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6"/>
      <c r="X16" s="41"/>
      <c r="Y16" s="41"/>
      <c r="Z16" s="41"/>
    </row>
    <row r="17">
      <c r="A17" s="41"/>
      <c r="B17" s="57"/>
      <c r="C17" s="56"/>
      <c r="D17" s="50"/>
      <c r="E17" s="50"/>
      <c r="F17" s="56"/>
      <c r="G17" s="54"/>
      <c r="H17" s="54"/>
      <c r="I17" s="54"/>
      <c r="J17" s="41"/>
      <c r="K17" s="55">
        <f t="shared" si="1"/>
        <v>0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6"/>
      <c r="X17" s="41"/>
      <c r="Y17" s="41"/>
      <c r="Z17" s="41"/>
    </row>
    <row r="18">
      <c r="A18" s="41"/>
      <c r="B18" s="57"/>
      <c r="C18" s="56"/>
      <c r="D18" s="50"/>
      <c r="E18" s="50"/>
      <c r="F18" s="56"/>
      <c r="G18" s="54"/>
      <c r="H18" s="54"/>
      <c r="I18" s="54"/>
      <c r="J18" s="41"/>
      <c r="K18" s="55">
        <f t="shared" si="1"/>
        <v>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6"/>
      <c r="X18" s="41"/>
      <c r="Y18" s="41"/>
      <c r="Z18" s="41"/>
    </row>
    <row r="19">
      <c r="A19" s="41"/>
      <c r="B19" s="41"/>
      <c r="C19" s="58"/>
      <c r="D19" s="58"/>
      <c r="E19" s="58"/>
      <c r="F19" s="41"/>
      <c r="G19" s="59"/>
      <c r="H19" s="59"/>
      <c r="I19" s="59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6"/>
      <c r="X19" s="41"/>
      <c r="Y19" s="41"/>
      <c r="Z19" s="41"/>
    </row>
    <row r="20">
      <c r="A20" s="41"/>
      <c r="B20" s="41"/>
      <c r="C20" s="58"/>
      <c r="D20" s="58"/>
      <c r="E20" s="58"/>
      <c r="F20" s="41"/>
      <c r="G20" s="59"/>
      <c r="H20" s="59"/>
      <c r="I20" s="59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6"/>
      <c r="X20" s="41"/>
      <c r="Y20" s="41"/>
      <c r="Z20" s="41"/>
    </row>
    <row r="21">
      <c r="A21" s="41"/>
      <c r="B21" s="41"/>
      <c r="C21" s="58"/>
      <c r="D21" s="58"/>
      <c r="E21" s="58"/>
      <c r="F21" s="41"/>
      <c r="G21" s="59"/>
      <c r="H21" s="59"/>
      <c r="I21" s="59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6"/>
      <c r="X21" s="41"/>
      <c r="Y21" s="41"/>
      <c r="Z21" s="41"/>
    </row>
    <row r="22">
      <c r="A22" s="41"/>
      <c r="B22" s="41"/>
      <c r="C22" s="41"/>
      <c r="D22" s="41"/>
      <c r="E22" s="41"/>
      <c r="F22" s="41"/>
      <c r="G22" s="59"/>
      <c r="H22" s="59"/>
      <c r="I22" s="59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6"/>
      <c r="X22" s="41"/>
      <c r="Y22" s="41"/>
      <c r="Z22" s="41"/>
    </row>
    <row r="2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6"/>
      <c r="X23" s="41"/>
      <c r="Y23" s="41"/>
      <c r="Z23" s="41"/>
    </row>
    <row r="24">
      <c r="A24" s="41"/>
      <c r="B24" s="41"/>
      <c r="C24" s="41"/>
      <c r="D24" s="41"/>
      <c r="E24" s="41"/>
      <c r="F24" s="41"/>
      <c r="G24" s="41"/>
      <c r="H24" s="41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41"/>
      <c r="V24" s="41"/>
      <c r="W24" s="46"/>
      <c r="X24" s="41"/>
      <c r="Y24" s="41"/>
      <c r="Z24" s="41"/>
    </row>
    <row r="25">
      <c r="A25" s="61"/>
      <c r="B25" s="61"/>
      <c r="C25" s="61"/>
      <c r="D25" s="61"/>
      <c r="E25" s="61"/>
      <c r="F25" s="61"/>
      <c r="G25" s="61"/>
      <c r="H25" s="45" t="s">
        <v>16</v>
      </c>
      <c r="I25" s="62">
        <v>5.0</v>
      </c>
      <c r="J25" s="62">
        <v>4.0</v>
      </c>
      <c r="K25" s="62">
        <v>5.0</v>
      </c>
      <c r="L25" s="62">
        <v>4.0</v>
      </c>
      <c r="M25" s="62">
        <v>4.0</v>
      </c>
      <c r="N25" s="62">
        <v>5.0</v>
      </c>
      <c r="O25" s="62">
        <v>4.0</v>
      </c>
      <c r="P25" s="62">
        <v>4.0</v>
      </c>
      <c r="Q25" s="62">
        <v>5.0</v>
      </c>
      <c r="R25" s="62">
        <v>4.0</v>
      </c>
      <c r="S25" s="62">
        <v>4.0</v>
      </c>
      <c r="T25" s="62">
        <v>4.0</v>
      </c>
      <c r="U25" s="61"/>
      <c r="V25" s="61"/>
      <c r="W25" s="63"/>
      <c r="X25" s="61"/>
      <c r="Y25" s="61"/>
      <c r="Z25" s="61"/>
    </row>
    <row r="26">
      <c r="A26" s="41"/>
      <c r="B26" s="41"/>
      <c r="C26" s="41"/>
      <c r="D26" s="41"/>
      <c r="E26" s="41"/>
      <c r="F26" s="41"/>
      <c r="G26" s="41"/>
      <c r="H26" s="62" t="s">
        <v>2</v>
      </c>
      <c r="I26" s="64">
        <v>45504.0</v>
      </c>
      <c r="J26" s="64">
        <v>45535.0</v>
      </c>
      <c r="K26" s="64">
        <v>45565.0</v>
      </c>
      <c r="L26" s="64">
        <v>45596.0</v>
      </c>
      <c r="M26" s="64">
        <v>45626.0</v>
      </c>
      <c r="N26" s="64">
        <v>45657.0</v>
      </c>
      <c r="O26" s="64">
        <v>45688.0</v>
      </c>
      <c r="P26" s="64">
        <v>45716.0</v>
      </c>
      <c r="Q26" s="64">
        <v>45747.0</v>
      </c>
      <c r="R26" s="64">
        <v>45777.0</v>
      </c>
      <c r="S26" s="64">
        <v>45808.0</v>
      </c>
      <c r="T26" s="64">
        <v>45838.0</v>
      </c>
      <c r="U26" s="41"/>
      <c r="V26" s="41"/>
      <c r="W26" s="46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65" t="s">
        <v>14</v>
      </c>
      <c r="I27" s="55">
        <f t="shared" ref="I27:T27" si="2">(SUMIFS($H$2:$H$18,$C$2:$C$18,$H$27,$D$2:$D$18,"&lt;="&amp;I26)-SUMIFS($H$2:$H$18,$C$2:$C$18,$H$27,$E$2:$E$18,"&lt;="&amp;I26))*I25</f>
        <v>0</v>
      </c>
      <c r="J27" s="55">
        <f t="shared" si="2"/>
        <v>0</v>
      </c>
      <c r="K27" s="55">
        <f t="shared" si="2"/>
        <v>0</v>
      </c>
      <c r="L27" s="55">
        <f t="shared" si="2"/>
        <v>0</v>
      </c>
      <c r="M27" s="55">
        <f t="shared" si="2"/>
        <v>0</v>
      </c>
      <c r="N27" s="55">
        <f t="shared" si="2"/>
        <v>0</v>
      </c>
      <c r="O27" s="55">
        <f t="shared" si="2"/>
        <v>0</v>
      </c>
      <c r="P27" s="55">
        <f t="shared" si="2"/>
        <v>0</v>
      </c>
      <c r="Q27" s="55">
        <f t="shared" si="2"/>
        <v>0</v>
      </c>
      <c r="R27" s="55">
        <f t="shared" si="2"/>
        <v>0</v>
      </c>
      <c r="S27" s="55">
        <f t="shared" si="2"/>
        <v>0</v>
      </c>
      <c r="T27" s="55">
        <f t="shared" si="2"/>
        <v>0</v>
      </c>
      <c r="U27" s="41"/>
      <c r="V27" s="41"/>
      <c r="W27" s="46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65" t="s">
        <v>15</v>
      </c>
      <c r="I28" s="55">
        <f t="shared" ref="I28:T28" si="3">(SUMIFS($H$2:$H$18,$C$2:$C$18,$H$28,$D$2:$D$18,"&lt;="&amp;I26)-SUMIFS($H$2:$H$18,$C$2:$C$18,$H$28,$E$2:$E$18,"&lt;="&amp;I26))*I25</f>
        <v>0</v>
      </c>
      <c r="J28" s="55">
        <f t="shared" si="3"/>
        <v>0</v>
      </c>
      <c r="K28" s="55">
        <f t="shared" si="3"/>
        <v>0</v>
      </c>
      <c r="L28" s="55">
        <f t="shared" si="3"/>
        <v>0</v>
      </c>
      <c r="M28" s="55">
        <f t="shared" si="3"/>
        <v>0</v>
      </c>
      <c r="N28" s="55">
        <f t="shared" si="3"/>
        <v>0</v>
      </c>
      <c r="O28" s="55">
        <f t="shared" si="3"/>
        <v>0</v>
      </c>
      <c r="P28" s="55">
        <f t="shared" si="3"/>
        <v>0</v>
      </c>
      <c r="Q28" s="55">
        <f t="shared" si="3"/>
        <v>0</v>
      </c>
      <c r="R28" s="55">
        <f t="shared" si="3"/>
        <v>0</v>
      </c>
      <c r="S28" s="55">
        <f t="shared" si="3"/>
        <v>0</v>
      </c>
      <c r="T28" s="55">
        <f t="shared" si="3"/>
        <v>0</v>
      </c>
      <c r="U28" s="41"/>
      <c r="V28" s="41"/>
      <c r="W28" s="46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66" t="s">
        <v>17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41"/>
      <c r="V29" s="41"/>
      <c r="W29" s="46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66" t="s">
        <v>18</v>
      </c>
      <c r="I30" s="55">
        <f t="shared" ref="I30:T30" si="4">I28-I29</f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41"/>
      <c r="V30" s="41"/>
      <c r="W30" s="46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66" t="s">
        <v>19</v>
      </c>
      <c r="I31" s="55">
        <f t="shared" ref="I31:T31" si="5">I28*11.5%</f>
        <v>0</v>
      </c>
      <c r="J31" s="55">
        <f t="shared" si="5"/>
        <v>0</v>
      </c>
      <c r="K31" s="55">
        <f t="shared" si="5"/>
        <v>0</v>
      </c>
      <c r="L31" s="55">
        <f t="shared" si="5"/>
        <v>0</v>
      </c>
      <c r="M31" s="55">
        <f t="shared" si="5"/>
        <v>0</v>
      </c>
      <c r="N31" s="55">
        <f t="shared" si="5"/>
        <v>0</v>
      </c>
      <c r="O31" s="55">
        <f t="shared" si="5"/>
        <v>0</v>
      </c>
      <c r="P31" s="55">
        <f t="shared" si="5"/>
        <v>0</v>
      </c>
      <c r="Q31" s="55">
        <f t="shared" si="5"/>
        <v>0</v>
      </c>
      <c r="R31" s="55">
        <f t="shared" si="5"/>
        <v>0</v>
      </c>
      <c r="S31" s="55">
        <f t="shared" si="5"/>
        <v>0</v>
      </c>
      <c r="T31" s="55">
        <f t="shared" si="5"/>
        <v>0</v>
      </c>
      <c r="U31" s="41"/>
      <c r="V31" s="41"/>
      <c r="W31" s="46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66" t="s">
        <v>20</v>
      </c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41"/>
      <c r="V32" s="41"/>
      <c r="W32" s="46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6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6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6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6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6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6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6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6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6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6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6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6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6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6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6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6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6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6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6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6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6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6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6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6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</sheetData>
  <drawing r:id="rId1"/>
</worksheet>
</file>